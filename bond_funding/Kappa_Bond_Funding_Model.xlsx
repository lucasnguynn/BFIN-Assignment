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C89EE3F-167F-4D03-A417-3F3A9556BD9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TA &amp; ASSUMPTIONS" sheetId="1" r:id="rId1"/>
    <sheet name="BOND &amp; FUNDING ANALYSIS" sheetId="2" r:id="rId2"/>
    <sheet name="RATE RISK &amp; DECI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2" l="1"/>
  <c r="H65" i="2"/>
  <c r="H66" i="2"/>
  <c r="H67" i="2"/>
  <c r="H63" i="2"/>
  <c r="C28" i="3"/>
  <c r="C27" i="3"/>
  <c r="D22" i="3"/>
  <c r="D21" i="3"/>
  <c r="D12" i="3"/>
  <c r="B7" i="3"/>
  <c r="B4" i="3"/>
  <c r="B3" i="3"/>
  <c r="D75" i="2"/>
  <c r="C75" i="2"/>
  <c r="B75" i="2"/>
  <c r="C72" i="2"/>
  <c r="C71" i="2"/>
  <c r="B67" i="2"/>
  <c r="B66" i="2"/>
  <c r="B65" i="2"/>
  <c r="D43" i="2"/>
  <c r="F40" i="2"/>
  <c r="B40" i="2"/>
  <c r="F39" i="2"/>
  <c r="E39" i="2"/>
  <c r="G39" i="2" s="1"/>
  <c r="B43" i="2" s="1"/>
  <c r="B39" i="2"/>
  <c r="D35" i="2"/>
  <c r="F32" i="2"/>
  <c r="E32" i="2"/>
  <c r="I32" i="2" s="1"/>
  <c r="B32" i="2"/>
  <c r="C65" i="2" s="1"/>
  <c r="F31" i="2"/>
  <c r="E31" i="2"/>
  <c r="I31" i="2" s="1"/>
  <c r="B31" i="2"/>
  <c r="B63" i="2" s="1"/>
  <c r="E16" i="2"/>
  <c r="D16" i="3" s="1"/>
  <c r="D16" i="2"/>
  <c r="F16" i="2" s="1"/>
  <c r="B16" i="2"/>
  <c r="B16" i="3" s="1"/>
  <c r="E15" i="2"/>
  <c r="D15" i="3" s="1"/>
  <c r="D15" i="2"/>
  <c r="F15" i="2" s="1"/>
  <c r="B15" i="2"/>
  <c r="B15" i="3" s="1"/>
  <c r="E14" i="2"/>
  <c r="D14" i="3" s="1"/>
  <c r="D14" i="2"/>
  <c r="F14" i="2" s="1"/>
  <c r="B14" i="2"/>
  <c r="B14" i="3" s="1"/>
  <c r="E13" i="2"/>
  <c r="D13" i="3" s="1"/>
  <c r="D13" i="2"/>
  <c r="F13" i="2" s="1"/>
  <c r="B13" i="2"/>
  <c r="B22" i="2" s="1"/>
  <c r="E12" i="2"/>
  <c r="D12" i="2"/>
  <c r="F12" i="2" s="1"/>
  <c r="B12" i="2"/>
  <c r="B12" i="3" s="1"/>
  <c r="I7" i="2"/>
  <c r="H7" i="2"/>
  <c r="G7" i="2"/>
  <c r="F7" i="2"/>
  <c r="E7" i="2"/>
  <c r="D7" i="2"/>
  <c r="C7" i="2"/>
  <c r="B7" i="2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J5" i="2" s="1"/>
  <c r="I4" i="2"/>
  <c r="H4" i="2"/>
  <c r="G4" i="2"/>
  <c r="J4" i="2" s="1"/>
  <c r="F4" i="2"/>
  <c r="E4" i="2"/>
  <c r="D4" i="2"/>
  <c r="C4" i="2"/>
  <c r="B4" i="2"/>
  <c r="I3" i="2"/>
  <c r="H3" i="2"/>
  <c r="G3" i="2"/>
  <c r="F3" i="2"/>
  <c r="E3" i="2"/>
  <c r="D3" i="2"/>
  <c r="C3" i="2"/>
  <c r="B3" i="2"/>
  <c r="G32" i="2" l="1"/>
  <c r="C34" i="3" s="1"/>
  <c r="H32" i="2"/>
  <c r="B49" i="2" s="1"/>
  <c r="D65" i="2"/>
  <c r="E65" i="2" s="1"/>
  <c r="G65" i="2" s="1"/>
  <c r="C67" i="2"/>
  <c r="J3" i="2"/>
  <c r="J7" i="2"/>
  <c r="H39" i="2"/>
  <c r="F63" i="2"/>
  <c r="I39" i="2"/>
  <c r="G16" i="2"/>
  <c r="E28" i="3"/>
  <c r="B22" i="3"/>
  <c r="G12" i="2"/>
  <c r="G14" i="2"/>
  <c r="C14" i="3" s="1"/>
  <c r="G14" i="3" s="1"/>
  <c r="G13" i="2"/>
  <c r="G15" i="2"/>
  <c r="H15" i="2" s="1"/>
  <c r="F65" i="2"/>
  <c r="D67" i="2"/>
  <c r="E67" i="2" s="1"/>
  <c r="G67" i="2" s="1"/>
  <c r="H13" i="2"/>
  <c r="E40" i="2"/>
  <c r="B64" i="2"/>
  <c r="E64" i="2" s="1"/>
  <c r="G64" i="2" s="1"/>
  <c r="C35" i="2"/>
  <c r="C64" i="2"/>
  <c r="F67" i="2"/>
  <c r="B13" i="3"/>
  <c r="D64" i="2"/>
  <c r="J6" i="2"/>
  <c r="G31" i="2"/>
  <c r="C66" i="2"/>
  <c r="H31" i="2"/>
  <c r="F64" i="2"/>
  <c r="D66" i="2"/>
  <c r="H14" i="2"/>
  <c r="F66" i="2"/>
  <c r="C63" i="2"/>
  <c r="B21" i="2"/>
  <c r="B23" i="2" s="1"/>
  <c r="D63" i="2"/>
  <c r="E66" i="2" l="1"/>
  <c r="G66" i="2" s="1"/>
  <c r="E63" i="2"/>
  <c r="G63" i="2" s="1"/>
  <c r="B24" i="2"/>
  <c r="B25" i="2"/>
  <c r="C12" i="3"/>
  <c r="H12" i="2"/>
  <c r="E27" i="3"/>
  <c r="B21" i="3"/>
  <c r="B27" i="3"/>
  <c r="D27" i="3" s="1"/>
  <c r="F27" i="3" s="1"/>
  <c r="C13" i="3"/>
  <c r="I40" i="2"/>
  <c r="H40" i="2"/>
  <c r="G40" i="2"/>
  <c r="C43" i="2" s="1"/>
  <c r="E43" i="2" s="1"/>
  <c r="C16" i="3"/>
  <c r="H16" i="2"/>
  <c r="C33" i="3"/>
  <c r="B35" i="2"/>
  <c r="E35" i="2" s="1"/>
  <c r="C15" i="3"/>
  <c r="B28" i="3"/>
  <c r="D28" i="3" s="1"/>
  <c r="F28" i="3" s="1"/>
  <c r="G28" i="3" s="1"/>
  <c r="E14" i="3"/>
  <c r="F14" i="3" s="1"/>
  <c r="G27" i="3" l="1"/>
  <c r="C22" i="3"/>
  <c r="G22" i="3" s="1"/>
  <c r="H22" i="3" s="1"/>
  <c r="G15" i="3"/>
  <c r="E15" i="3"/>
  <c r="F15" i="3" s="1"/>
  <c r="C35" i="3"/>
  <c r="B72" i="2"/>
  <c r="D72" i="2" s="1"/>
  <c r="B5" i="3"/>
  <c r="B71" i="2"/>
  <c r="D71" i="2" s="1"/>
  <c r="F35" i="2"/>
  <c r="B47" i="2"/>
  <c r="E16" i="3"/>
  <c r="F16" i="3" s="1"/>
  <c r="G16" i="3"/>
  <c r="E12" i="3"/>
  <c r="F12" i="3" s="1"/>
  <c r="G12" i="3"/>
  <c r="F43" i="2"/>
  <c r="C50" i="2" s="1"/>
  <c r="C47" i="2"/>
  <c r="J40" i="2"/>
  <c r="C49" i="2"/>
  <c r="C21" i="3"/>
  <c r="G21" i="3" s="1"/>
  <c r="H21" i="3" s="1"/>
  <c r="G13" i="3"/>
  <c r="E13" i="3"/>
  <c r="F13" i="3" s="1"/>
  <c r="E21" i="3" l="1"/>
  <c r="C36" i="3"/>
  <c r="B6" i="3"/>
  <c r="B50" i="2"/>
  <c r="B79" i="2"/>
  <c r="E22" i="3"/>
  <c r="I22" i="3" l="1"/>
  <c r="F22" i="3"/>
  <c r="I21" i="3"/>
  <c r="F21" i="3"/>
</calcChain>
</file>

<file path=xl/sharedStrings.xml><?xml version="1.0" encoding="utf-8"?>
<sst xmlns="http://schemas.openxmlformats.org/spreadsheetml/2006/main" count="323" uniqueCount="236">
  <si>
    <t>KAPPA FOUNDATION</t>
  </si>
  <si>
    <t>INPUT</t>
  </si>
  <si>
    <t>VALUE</t>
  </si>
  <si>
    <t>UNIT</t>
  </si>
  <si>
    <t>NOTE</t>
  </si>
  <si>
    <t>Initial Fund</t>
  </si>
  <si>
    <t>USD</t>
  </si>
  <si>
    <t>2024 Liability</t>
  </si>
  <si>
    <t>2027 Liability</t>
  </si>
  <si>
    <t>2030 Real-value Goal</t>
  </si>
  <si>
    <t>USD in 2022 purchasing power</t>
  </si>
  <si>
    <t>Decision Date</t>
  </si>
  <si>
    <t>Trustee Loss Concern</t>
  </si>
  <si>
    <t>Approx.loss level</t>
  </si>
  <si>
    <t>Allowed Instruments</t>
  </si>
  <si>
    <t>Cash; 5 case bonds; US common stocks; US-listed ETFs primarily in US equities</t>
  </si>
  <si>
    <t>Prohibited</t>
  </si>
  <si>
    <t>Borrowing; short salesl derivatives</t>
  </si>
  <si>
    <t xml:space="preserve">Bond Coupon Convention </t>
  </si>
  <si>
    <t>Annual coupons on 31 December</t>
  </si>
  <si>
    <t>BOND DATA</t>
  </si>
  <si>
    <t xml:space="preserve">Bond </t>
  </si>
  <si>
    <t>Maturity</t>
  </si>
  <si>
    <t>Coupon</t>
  </si>
  <si>
    <t>Coupon Frequency</t>
  </si>
  <si>
    <t>Price per 1000 USD</t>
  </si>
  <si>
    <t>Note</t>
  </si>
  <si>
    <t>Alpha</t>
  </si>
  <si>
    <t>None/ Zero-coupon</t>
  </si>
  <si>
    <t>Beta</t>
  </si>
  <si>
    <t>Gamma</t>
  </si>
  <si>
    <t xml:space="preserve">Annual </t>
  </si>
  <si>
    <t>Coupon = $40/year</t>
  </si>
  <si>
    <t>Delta</t>
  </si>
  <si>
    <t>Coupon = $35/year</t>
  </si>
  <si>
    <t>Epsilon</t>
  </si>
  <si>
    <t>Coupon = $45/ year</t>
  </si>
  <si>
    <t>POLICY ASSUMPTIONS</t>
  </si>
  <si>
    <t>Assumption</t>
  </si>
  <si>
    <t xml:space="preserve">Base Case </t>
  </si>
  <si>
    <t>Scenario 1</t>
  </si>
  <si>
    <t>Scenario 2</t>
  </si>
  <si>
    <t>Source / Rationale</t>
  </si>
  <si>
    <t>Inflation assumption</t>
  </si>
  <si>
    <t>FRED 10Y Breakeven, 30-Dec-2022 = 2.30%; market reference, not an 8-year forecast. https://fred.stlouisfed.org/series/T10YIE</t>
  </si>
  <si>
    <t>Risk aversion A</t>
  </si>
  <si>
    <t>Cash buffer</t>
  </si>
  <si>
    <t>No compulsory minimum in the case; $0 base case and $250k liquidity stress.</t>
  </si>
  <si>
    <t>Parallel Rate Shock</t>
  </si>
  <si>
    <t>Illustrative ±100 bps parallel shock; stress-test design, not a forecast.</t>
  </si>
  <si>
    <t>2Y Curve Shock</t>
  </si>
  <si>
    <t>Illustrative short-end shock for Beta / 2024 funding.</t>
  </si>
  <si>
    <t xml:space="preserve">5Y Curve Shock </t>
  </si>
  <si>
    <t>Illustrative 5Y shock for Delta / 2027 funding.</t>
  </si>
  <si>
    <t>Term Structure Treatment</t>
  </si>
  <si>
    <t>Assume 4Y spot = 3Y spot (flat 3Y- 4Y segment)</t>
  </si>
  <si>
    <t>4Y spot -0.25%</t>
  </si>
  <si>
    <t>4Y spot +0.25%</t>
  </si>
  <si>
    <t>4Y spot is not identified by the case; use an explicit assumption, then derive 5Y from Delta.</t>
  </si>
  <si>
    <t>OBJECTIVE</t>
  </si>
  <si>
    <t>Fund the 2024 and 2027 contractual liabilities first, then determine the residual capital available for the growth portfolio while considering Kappa’s risk tolerance and 2030 real purchasing-power objective.</t>
  </si>
  <si>
    <t>BOND CASH-FLOW ( PER $1,000 FACE VALUE)</t>
  </si>
  <si>
    <t>Bond</t>
  </si>
  <si>
    <t>Total CF</t>
  </si>
  <si>
    <t>Funding Role</t>
  </si>
  <si>
    <t>1Y maturity / reference zero-coupon</t>
  </si>
  <si>
    <t>Candidate 2024 liability match</t>
  </si>
  <si>
    <t>3Y coupon bond / curve information</t>
  </si>
  <si>
    <t>Candidate 2027 liability match</t>
  </si>
  <si>
    <t>Longer maturity / rate-risk comparison</t>
  </si>
  <si>
    <t>BOND VALUATION &amp; YTM</t>
  </si>
  <si>
    <t>Price Input</t>
  </si>
  <si>
    <t>Face Value</t>
  </si>
  <si>
    <t>Coupon Rate</t>
  </si>
  <si>
    <t>Annual Coupon</t>
  </si>
  <si>
    <t>YTM (Annual)</t>
  </si>
  <si>
    <t>Price Check YTM</t>
  </si>
  <si>
    <t>Maturity (Year)</t>
  </si>
  <si>
    <t>Spot Rate</t>
  </si>
  <si>
    <t>FUNDING PLAN</t>
  </si>
  <si>
    <t>CANDIDATE A - Maturity-Matched Strategy</t>
  </si>
  <si>
    <t>Liability</t>
  </si>
  <si>
    <t>Due Date</t>
  </si>
  <si>
    <t>Instrument</t>
  </si>
  <si>
    <t>Face / Unit</t>
  </si>
  <si>
    <t>Units</t>
  </si>
  <si>
    <t>Initial Price</t>
  </si>
  <si>
    <t>Initial Cost</t>
  </si>
  <si>
    <t>Cash at Liability Date</t>
  </si>
  <si>
    <t>Annual Coupon Cash</t>
  </si>
  <si>
    <t>Funding Status</t>
  </si>
  <si>
    <t>FULLY FUNDED</t>
  </si>
  <si>
    <t>Funding Summary</t>
  </si>
  <si>
    <t>2024 Cost</t>
  </si>
  <si>
    <t>2027 Cost</t>
  </si>
  <si>
    <t>Cash Buffer</t>
  </si>
  <si>
    <t>Total Funding / Reserve</t>
  </si>
  <si>
    <t>Residual Growth Capital</t>
  </si>
  <si>
    <t>Candidate A (Beta + Delta)</t>
  </si>
  <si>
    <t>CANDIDATE B - Shorter- Duration Prefunding</t>
  </si>
  <si>
    <t>Gamma + Cash Reserve</t>
  </si>
  <si>
    <t>Candidate B (Beta + Gamma + Cash Reserve)</t>
  </si>
  <si>
    <t xml:space="preserve">CREDIBLE ALTERNATIVE </t>
  </si>
  <si>
    <t>Criteria</t>
  </si>
  <si>
    <t>Candidate A</t>
  </si>
  <si>
    <t xml:space="preserve">Candidate B </t>
  </si>
  <si>
    <t>Preferred</t>
  </si>
  <si>
    <t>Reason</t>
  </si>
  <si>
    <t>Initial funding cost</t>
  </si>
  <si>
    <t>B</t>
  </si>
  <si>
    <t>Candidate B requires about $326,847 less initial capital, leaving more funds available for growth.</t>
  </si>
  <si>
    <t>2024 contractual coverage</t>
  </si>
  <si>
    <t>Fully funded</t>
  </si>
  <si>
    <t>Tie</t>
  </si>
  <si>
    <t>Both strategies use Beta and fully cover the $2.4m payment due in 2024.</t>
  </si>
  <si>
    <t>2027 contractual coverage</t>
  </si>
  <si>
    <t>A</t>
  </si>
  <si>
    <t>Both cover the liability, but Candidate A provides the required principal directly at the 2027 liability date, while Candidate B receives the funds earlier and must hold them as cash.</t>
  </si>
  <si>
    <t>Residual growth capital</t>
  </si>
  <si>
    <t>Candidate B leaves about $326,847 more initial capital for the growth portfolio.</t>
  </si>
  <si>
    <t>Reinvestment risk</t>
  </si>
  <si>
    <t>Lower</t>
  </si>
  <si>
    <t>Higher</t>
  </si>
  <si>
    <t>Candidate A better matches liability timing. Candidate B receives Gamma cash flows before 2027, creating cash-management / reinvestment exposure.</t>
  </si>
  <si>
    <t>Rate Exposure</t>
  </si>
  <si>
    <t>Longer</t>
  </si>
  <si>
    <t xml:space="preserve">Shorter </t>
  </si>
  <si>
    <t>Gamma matures in 2025, so Candidate B has shorter interest-rate exposure than Delta, which matures in 2027.</t>
  </si>
  <si>
    <t>Operational Simplicity</t>
  </si>
  <si>
    <t>Candidate A directly matches bond maturities to liabilities and requires less interim cash management.</t>
  </si>
  <si>
    <t>OVERALL</t>
  </si>
  <si>
    <t>Preferred Candidate A</t>
  </si>
  <si>
    <t>Candidate B is cheaper and leaves more growth capital, but Candidate A provides better liability-date matching, lower timing risk, and simpler implementation. Since mandatory liabilities have priority, Candidate A is preferred.</t>
  </si>
  <si>
    <t>SELECTED CANDIDATE A - COUPON POLICY &amp; ANNUAL FUNDING CASH-FLOW LEDGER</t>
  </si>
  <si>
    <t>Year</t>
  </si>
  <si>
    <t>Beta CF</t>
  </si>
  <si>
    <t>Delta Coupon</t>
  </si>
  <si>
    <t>Delta Principal</t>
  </si>
  <si>
    <t>Total Inflow</t>
  </si>
  <si>
    <t>Liability Payment</t>
  </si>
  <si>
    <t>Net Annual Funding Cash</t>
  </si>
  <si>
    <t>Cumulative Coupon Reserve</t>
  </si>
  <si>
    <t>No liability due</t>
  </si>
  <si>
    <t>COVERED</t>
  </si>
  <si>
    <t>DURATION, CONVEXITY, RATE SCENARIOS &amp; FINAL DECISION</t>
  </si>
  <si>
    <t>KEY OUTPUT</t>
  </si>
  <si>
    <t>2024 Funding Status</t>
  </si>
  <si>
    <t>2027 Funding Status</t>
  </si>
  <si>
    <t>Parallel Shock Assumption</t>
  </si>
  <si>
    <t>DURATION &amp; CONVEXITY</t>
  </si>
  <si>
    <t>Price</t>
  </si>
  <si>
    <t>YTM</t>
  </si>
  <si>
    <t>Macaulay Duration</t>
  </si>
  <si>
    <t>Modified Duration</t>
  </si>
  <si>
    <t>Convexity</t>
  </si>
  <si>
    <t>Comment</t>
  </si>
  <si>
    <t>Zero-coupon: duration equals maturity.</t>
  </si>
  <si>
    <t>Zero-coupon candidate for 2024 liability.</t>
  </si>
  <si>
    <t>Coupon bond; intermediate curve information.</t>
  </si>
  <si>
    <t>Candidate for 2027 liability.</t>
  </si>
  <si>
    <t>Longer maturity; highest rate sensitivity among case bonds.</t>
  </si>
  <si>
    <t xml:space="preserve">PARALLEL RATE SHOCK </t>
  </si>
  <si>
    <t>Base Price</t>
  </si>
  <si>
    <t>Base YTM</t>
  </si>
  <si>
    <t>Shock</t>
  </si>
  <si>
    <t>Approx ΔP/P</t>
  </si>
  <si>
    <t>Approx Price</t>
  </si>
  <si>
    <t>Exact Shocked Price</t>
  </si>
  <si>
    <t>Exact ΔP/P</t>
  </si>
  <si>
    <t xml:space="preserve">Approx Error
</t>
  </si>
  <si>
    <t xml:space="preserve">Liability Role
</t>
  </si>
  <si>
    <t xml:space="preserve">Funding Interpretation
</t>
  </si>
  <si>
    <t>2024 principal</t>
  </si>
  <si>
    <t>Market value can change before maturity; contractual principal remains the key liability-funding test if held to maturity and no default.</t>
  </si>
  <si>
    <t xml:space="preserve">2027 principal
</t>
  </si>
  <si>
    <t xml:space="preserve">CURVE-SHAPE SCENARIO </t>
  </si>
  <si>
    <t>Curve Shock</t>
  </si>
  <si>
    <t>Shocked YTM</t>
  </si>
  <si>
    <t>Price Change</t>
  </si>
  <si>
    <t>Liability Date</t>
  </si>
  <si>
    <t>Interpretation</t>
  </si>
  <si>
    <t>Shock affects mark-to-market value; check whether contractual maturity cash still covers the due payment.</t>
  </si>
  <si>
    <t xml:space="preserve">INITIAL DECISION RECORD </t>
  </si>
  <si>
    <t>Decision Item</t>
  </si>
  <si>
    <t>Recommended / Current</t>
  </si>
  <si>
    <t>Key Number</t>
  </si>
  <si>
    <t>Rationale</t>
  </si>
  <si>
    <t>2024 Funding</t>
  </si>
  <si>
    <t>2,400 Beta zero-coupon bonds</t>
  </si>
  <si>
    <t>Directly matches 31-Dec-2024 principal need.</t>
  </si>
  <si>
    <t>2027 Funding</t>
  </si>
  <si>
    <t>3,600 Delta bonds</t>
  </si>
  <si>
    <t>Candidate A funding + cash buffer</t>
  </si>
  <si>
    <t>Must reconcile with $12m total fund.</t>
  </si>
  <si>
    <t xml:space="preserve">Residual Growth Capital </t>
  </si>
  <si>
    <t>Pass residual capital to growth sleeve</t>
  </si>
  <si>
    <t>Residual capital equals $12m less the initial cost of the liability-funding sleeve.</t>
  </si>
  <si>
    <t>Initial Funding Strategy</t>
  </si>
  <si>
    <t>Candidate A - Maturity - Matched Beta + Delta</t>
  </si>
  <si>
    <t>Recommended</t>
  </si>
  <si>
    <t>Candidate B is cheaper and leaves more growth capital, but Candidate A provides better liability-date matching, lower timing/reinvestment risk and simpler implementation.</t>
  </si>
  <si>
    <t>Status</t>
  </si>
  <si>
    <t>PROPOSED</t>
  </si>
  <si>
    <t>A=3 base case; A=6 higher-risk-aversion sensitivity. Utility comparison requires integrated portfolio outputs from Mem 2.</t>
  </si>
  <si>
    <t>APPROVE</t>
  </si>
  <si>
    <t>OPEN</t>
  </si>
  <si>
    <t>TERM STRUCTURE / SPOT RATE CURVE</t>
  </si>
  <si>
    <t>Treatment</t>
  </si>
  <si>
    <t>Bootstrapped from Gamma using exact 1Y and 2Y spot rates</t>
  </si>
  <si>
    <t>Derived from Delta after applying the 4Y assumption</t>
  </si>
  <si>
    <t>Coupon policy: All Delta coupons ($126,000 per year for 2023–2027) are retained as cash within the funding sleeve until the 2027 liability is paid. They are excluded from the initial $6,235,476 growth capital and are not double-counted as part of the $3.6m liability principal. Under a zero-return cash-holding convention, the cumulative coupon reserve reaches $630,000 by end-2027. Delta matures in 2027, so there are no Delta coupons after 2027. After the 2027 liability is paid, the accumulated $630,000 coupon reserve becomes unrestricted capital and may be transferred to the growth/liquidity sleeve for 2028–2030; it is not included in the initial 2022 growth-capital handoff.</t>
  </si>
  <si>
    <t>SENSITIVITY &amp; HANDOFF CHECKS</t>
  </si>
  <si>
    <t>Cash Buffer Scenario</t>
  </si>
  <si>
    <t>Funding Cost</t>
  </si>
  <si>
    <t>Base Case</t>
  </si>
  <si>
    <t>Liquidity Scenario</t>
  </si>
  <si>
    <t>Risk Aversion Sensitivity</t>
  </si>
  <si>
    <t>Risk Aversion A</t>
  </si>
  <si>
    <t>Use in integrated utility test</t>
  </si>
  <si>
    <t>U = E(R) - (A/2)σ²</t>
  </si>
  <si>
    <t>Same policy inputs; lower-risk alternative check</t>
  </si>
  <si>
    <t>Higher-risk-aversion check after Mem 2 portfolio outputs are available</t>
  </si>
  <si>
    <t>Mem 1 Recommended Allocation</t>
  </si>
  <si>
    <t>2,400 Beta + 3,600 Delta</t>
  </si>
  <si>
    <t>Provisional Growth Capital → Mem 2</t>
  </si>
  <si>
    <t>Post-2027 Coupon Reserve</t>
  </si>
  <si>
    <t>$630,000 becomes unrestricted after 2027 liability payment; may enter growth/liquidity sleeve for 2028–2030</t>
  </si>
  <si>
    <t>Formal Approval Status</t>
  </si>
  <si>
    <t>PENDING GROUP SIGN-OFF</t>
  </si>
  <si>
    <t>Delta principal directly matches 31-Dec-2027. All $126,000 annual coupons are retained in the funding sleeve, excluded from initial growth capital, and the $630,000 accumulated reserve becomes unrestricted after the 2027 liability is paid.</t>
  </si>
  <si>
    <t>Recommended by Mem 1; pending group sign-off</t>
  </si>
  <si>
    <t>$6,235,476 provisional growth capital</t>
  </si>
  <si>
    <t>Mem 2 may continue analysis with the provisional amount; do not label the allocation 'approved/frozen' until group confirmation.</t>
  </si>
  <si>
    <t>Alpha zero-coupon – directly implied</t>
  </si>
  <si>
    <t>Beta zero-coupon – directly implied</t>
  </si>
  <si>
    <t>Assumption: s4 = s3 (flat 3Y– 4Y segment)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</si>
</sst>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-mmm\-yyyy"/>
    <numFmt numFmtId="165" formatCode="&quot;$&quot;#,##0.00"/>
    <numFmt numFmtId="166" formatCode="&quot;$&quot;#,##0"/>
    <numFmt numFmtId="167" formatCode="0.0000"/>
    <numFmt numFmtId="168" formatCode="0.00%;[Red]\(0.00%\);\-"/>
    <numFmt numFmtId="169" formatCode="\$#,##0.00;[Red]\(\$#,##0.00\);\-"/>
    <numFmt numFmtId="170" formatCode="\$#,##0;[Red]\(\$#,##0\);\-"/>
  </numFmts>
  <fonts count="33" x14ac:knownFonts="1">
    <font>
      <sz val="10"/>
      <color rgb="FF000000"/>
      <name val="Arial"/>
    </font>
    <font>
      <b/>
      <sz val="12"/>
      <color theme="1"/>
      <name val="Times New Roman"/>
    </font>
    <font>
      <sz val="10"/>
      <name val="Arial"/>
    </font>
    <font>
      <sz val="10"/>
      <color theme="1"/>
      <name val="Times New Roman"/>
    </font>
    <font>
      <b/>
      <sz val="12"/>
      <color rgb="FF000000"/>
      <name val="Times New Roman"/>
    </font>
    <font>
      <b/>
      <sz val="11"/>
      <color theme="1"/>
      <name val="Times New Roman"/>
    </font>
    <font>
      <b/>
      <sz val="15"/>
      <color rgb="FF000000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sz val="11"/>
      <color rgb="FF008000"/>
      <name val="Times New Roman"/>
    </font>
    <font>
      <sz val="11"/>
      <color rgb="FF000000"/>
      <name val="Times New Roman"/>
    </font>
    <font>
      <b/>
      <sz val="11"/>
      <color rgb="FF008000"/>
      <name val="Times New Roman"/>
    </font>
    <font>
      <sz val="11"/>
      <color rgb="FFFF0000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0000FF"/>
      <name val="Times New Roman"/>
    </font>
    <font>
      <sz val="11"/>
      <color rgb="FF0000FF"/>
      <name val="Times New Roman"/>
    </font>
    <font>
      <b/>
      <sz val="10"/>
      <color rgb="FF000000"/>
      <name val="Arial"/>
    </font>
    <font>
      <sz val="10"/>
      <color theme="1"/>
      <name val="STZhongsong"/>
      <charset val="134"/>
    </font>
    <font>
      <sz val="10"/>
      <color rgb="FF000000"/>
      <name val="STZhongsong"/>
      <charset val="134"/>
    </font>
    <font>
      <i/>
      <sz val="10"/>
      <color rgb="FF555555"/>
      <name val="STZhongsong"/>
      <charset val="134"/>
    </font>
    <font>
      <sz val="11"/>
      <color rgb="FF000000"/>
      <name val="STZhongsong"/>
      <charset val="134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C00000"/>
      <name val="Times New Roman"/>
      <family val="1"/>
    </font>
    <font>
      <b/>
      <sz val="12"/>
      <color rgb="FFFFFFFF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EA9999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7" fillId="0" borderId="4" xfId="0" applyFont="1" applyBorder="1"/>
    <xf numFmtId="0" fontId="8" fillId="2" borderId="4" xfId="0" applyFont="1" applyFill="1" applyBorder="1" applyAlignment="1">
      <alignment horizontal="center"/>
    </xf>
    <xf numFmtId="3" fontId="7" fillId="0" borderId="4" xfId="0" applyNumberFormat="1" applyFont="1" applyBorder="1" applyAlignment="1">
      <alignment horizontal="right"/>
    </xf>
    <xf numFmtId="0" fontId="7" fillId="0" borderId="0" xfId="0" applyFont="1"/>
    <xf numFmtId="0" fontId="7" fillId="0" borderId="4" xfId="0" applyFont="1" applyBorder="1" applyAlignment="1">
      <alignment wrapText="1"/>
    </xf>
    <xf numFmtId="0" fontId="9" fillId="0" borderId="4" xfId="0" applyFont="1" applyBorder="1"/>
    <xf numFmtId="164" fontId="7" fillId="0" borderId="4" xfId="0" applyNumberFormat="1" applyFont="1" applyBorder="1" applyAlignment="1">
      <alignment wrapText="1"/>
    </xf>
    <xf numFmtId="164" fontId="7" fillId="0" borderId="4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9" fontId="7" fillId="0" borderId="4" xfId="0" applyNumberFormat="1" applyFont="1" applyBorder="1"/>
    <xf numFmtId="165" fontId="10" fillId="0" borderId="4" xfId="0" applyNumberFormat="1" applyFont="1" applyBorder="1" applyAlignment="1">
      <alignment horizontal="right"/>
    </xf>
    <xf numFmtId="0" fontId="3" fillId="0" borderId="0" xfId="0" applyFont="1" applyAlignment="1">
      <alignment wrapText="1"/>
    </xf>
    <xf numFmtId="166" fontId="9" fillId="0" borderId="4" xfId="0" applyNumberFormat="1" applyFont="1" applyBorder="1" applyAlignment="1">
      <alignment horizontal="right"/>
    </xf>
    <xf numFmtId="9" fontId="7" fillId="0" borderId="4" xfId="0" applyNumberFormat="1" applyFont="1" applyBorder="1" applyAlignment="1">
      <alignment wrapText="1"/>
    </xf>
    <xf numFmtId="166" fontId="11" fillId="3" borderId="4" xfId="0" applyNumberFormat="1" applyFont="1" applyFill="1" applyBorder="1" applyAlignment="1">
      <alignment horizontal="right"/>
    </xf>
    <xf numFmtId="4" fontId="7" fillId="0" borderId="4" xfId="0" applyNumberFormat="1" applyFont="1" applyBorder="1" applyAlignment="1">
      <alignment wrapText="1"/>
    </xf>
    <xf numFmtId="4" fontId="7" fillId="0" borderId="4" xfId="0" applyNumberFormat="1" applyFont="1" applyBorder="1"/>
    <xf numFmtId="10" fontId="7" fillId="0" borderId="4" xfId="0" applyNumberFormat="1" applyFont="1" applyBorder="1" applyAlignment="1">
      <alignment wrapText="1"/>
    </xf>
    <xf numFmtId="10" fontId="9" fillId="0" borderId="4" xfId="0" applyNumberFormat="1" applyFont="1" applyBorder="1" applyAlignment="1">
      <alignment horizontal="right"/>
    </xf>
    <xf numFmtId="0" fontId="5" fillId="2" borderId="4" xfId="0" applyFont="1" applyFill="1" applyBorder="1"/>
    <xf numFmtId="0" fontId="5" fillId="2" borderId="4" xfId="0" applyFont="1" applyFill="1" applyBorder="1" applyAlignment="1">
      <alignment wrapText="1"/>
    </xf>
    <xf numFmtId="10" fontId="7" fillId="0" borderId="4" xfId="0" applyNumberFormat="1" applyFont="1" applyBorder="1"/>
    <xf numFmtId="165" fontId="9" fillId="0" borderId="4" xfId="0" applyNumberFormat="1" applyFont="1" applyBorder="1" applyAlignment="1">
      <alignment horizontal="right"/>
    </xf>
    <xf numFmtId="166" fontId="7" fillId="0" borderId="4" xfId="0" applyNumberFormat="1" applyFont="1" applyBorder="1"/>
    <xf numFmtId="166" fontId="7" fillId="0" borderId="4" xfId="0" applyNumberFormat="1" applyFont="1" applyBorder="1" applyAlignment="1">
      <alignment wrapText="1"/>
    </xf>
    <xf numFmtId="9" fontId="12" fillId="0" borderId="4" xfId="0" applyNumberFormat="1" applyFont="1" applyBorder="1" applyAlignment="1">
      <alignment horizontal="right"/>
    </xf>
    <xf numFmtId="10" fontId="12" fillId="0" borderId="4" xfId="0" applyNumberFormat="1" applyFont="1" applyBorder="1" applyAlignment="1">
      <alignment horizontal="right"/>
    </xf>
    <xf numFmtId="0" fontId="7" fillId="4" borderId="4" xfId="0" applyFont="1" applyFill="1" applyBorder="1"/>
    <xf numFmtId="0" fontId="12" fillId="4" borderId="4" xfId="0" applyFont="1" applyFill="1" applyBorder="1" applyAlignment="1">
      <alignment horizontal="right" vertical="center" wrapText="1"/>
    </xf>
    <xf numFmtId="10" fontId="12" fillId="4" borderId="4" xfId="0" applyNumberFormat="1" applyFont="1" applyFill="1" applyBorder="1" applyAlignment="1">
      <alignment horizontal="right" vertical="center" wrapText="1"/>
    </xf>
    <xf numFmtId="10" fontId="7" fillId="4" borderId="4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167" fontId="10" fillId="0" borderId="4" xfId="0" applyNumberFormat="1" applyFont="1" applyBorder="1" applyAlignment="1">
      <alignment horizontal="right"/>
    </xf>
    <xf numFmtId="0" fontId="8" fillId="2" borderId="4" xfId="0" applyFont="1" applyFill="1" applyBorder="1" applyAlignment="1">
      <alignment horizontal="center" wrapText="1"/>
    </xf>
    <xf numFmtId="0" fontId="10" fillId="0" borderId="4" xfId="0" applyFont="1" applyBorder="1"/>
    <xf numFmtId="10" fontId="10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vertical="center"/>
    </xf>
    <xf numFmtId="165" fontId="7" fillId="0" borderId="4" xfId="0" applyNumberFormat="1" applyFont="1" applyBorder="1" applyAlignment="1">
      <alignment horizontal="right"/>
    </xf>
    <xf numFmtId="9" fontId="9" fillId="0" borderId="4" xfId="0" applyNumberFormat="1" applyFont="1" applyBorder="1" applyAlignment="1">
      <alignment horizontal="right"/>
    </xf>
    <xf numFmtId="0" fontId="7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0" borderId="0" xfId="0" applyFont="1"/>
    <xf numFmtId="164" fontId="9" fillId="0" borderId="4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166" fontId="10" fillId="0" borderId="4" xfId="0" applyNumberFormat="1" applyFont="1" applyBorder="1" applyAlignment="1">
      <alignment horizontal="right"/>
    </xf>
    <xf numFmtId="0" fontId="10" fillId="0" borderId="4" xfId="0" applyFont="1" applyBorder="1" applyAlignment="1">
      <alignment wrapText="1"/>
    </xf>
    <xf numFmtId="166" fontId="8" fillId="3" borderId="4" xfId="0" applyNumberFormat="1" applyFont="1" applyFill="1" applyBorder="1" applyAlignment="1">
      <alignment horizontal="right"/>
    </xf>
    <xf numFmtId="0" fontId="10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13" fillId="0" borderId="4" xfId="0" applyFont="1" applyBorder="1" applyAlignment="1">
      <alignment wrapText="1"/>
    </xf>
    <xf numFmtId="166" fontId="14" fillId="0" borderId="4" xfId="0" applyNumberFormat="1" applyFont="1" applyBorder="1" applyAlignment="1">
      <alignment horizontal="center" wrapText="1"/>
    </xf>
    <xf numFmtId="166" fontId="15" fillId="5" borderId="4" xfId="0" applyNumberFormat="1" applyFont="1" applyFill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5" borderId="4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" fillId="6" borderId="4" xfId="0" applyFont="1" applyFill="1" applyBorder="1"/>
    <xf numFmtId="0" fontId="16" fillId="0" borderId="4" xfId="0" applyFont="1" applyBorder="1"/>
    <xf numFmtId="168" fontId="10" fillId="0" borderId="4" xfId="0" applyNumberFormat="1" applyFont="1" applyBorder="1" applyAlignment="1">
      <alignment horizontal="right"/>
    </xf>
    <xf numFmtId="169" fontId="10" fillId="0" borderId="4" xfId="0" applyNumberFormat="1" applyFont="1" applyBorder="1" applyAlignment="1">
      <alignment horizontal="right"/>
    </xf>
    <xf numFmtId="168" fontId="10" fillId="0" borderId="4" xfId="0" applyNumberFormat="1" applyFont="1" applyBorder="1" applyAlignment="1">
      <alignment horizontal="center"/>
    </xf>
    <xf numFmtId="170" fontId="10" fillId="0" borderId="4" xfId="0" applyNumberFormat="1" applyFont="1" applyBorder="1" applyAlignment="1">
      <alignment horizontal="right"/>
    </xf>
    <xf numFmtId="168" fontId="9" fillId="0" borderId="4" xfId="0" applyNumberFormat="1" applyFont="1" applyBorder="1" applyAlignment="1">
      <alignment horizontal="right"/>
    </xf>
    <xf numFmtId="168" fontId="7" fillId="0" borderId="4" xfId="0" applyNumberFormat="1" applyFont="1" applyBorder="1" applyAlignment="1">
      <alignment horizontal="right"/>
    </xf>
    <xf numFmtId="168" fontId="9" fillId="5" borderId="4" xfId="0" applyNumberFormat="1" applyFont="1" applyFill="1" applyBorder="1" applyAlignment="1">
      <alignment horizontal="right"/>
    </xf>
    <xf numFmtId="168" fontId="12" fillId="5" borderId="4" xfId="0" applyNumberFormat="1" applyFont="1" applyFill="1" applyBorder="1" applyAlignment="1">
      <alignment horizontal="right"/>
    </xf>
    <xf numFmtId="0" fontId="18" fillId="0" borderId="0" xfId="0" applyFont="1"/>
    <xf numFmtId="0" fontId="19" fillId="0" borderId="0" xfId="0" applyFont="1"/>
    <xf numFmtId="0" fontId="20" fillId="8" borderId="0" xfId="0" applyFont="1" applyFill="1" applyAlignment="1">
      <alignment wrapText="1"/>
    </xf>
    <xf numFmtId="0" fontId="21" fillId="0" borderId="0" xfId="0" applyFont="1"/>
    <xf numFmtId="0" fontId="22" fillId="2" borderId="4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 wrapText="1"/>
    </xf>
    <xf numFmtId="0" fontId="27" fillId="0" borderId="4" xfId="0" applyFont="1" applyBorder="1" applyAlignment="1">
      <alignment horizontal="right"/>
    </xf>
    <xf numFmtId="166" fontId="27" fillId="0" borderId="4" xfId="0" applyNumberFormat="1" applyFont="1" applyBorder="1" applyAlignment="1">
      <alignment horizontal="right"/>
    </xf>
    <xf numFmtId="165" fontId="27" fillId="0" borderId="4" xfId="0" applyNumberFormat="1" applyFont="1" applyBorder="1" applyAlignment="1">
      <alignment horizontal="right"/>
    </xf>
    <xf numFmtId="0" fontId="28" fillId="0" borderId="0" xfId="0" applyFont="1"/>
    <xf numFmtId="166" fontId="23" fillId="0" borderId="0" xfId="0" applyNumberFormat="1" applyFont="1" applyAlignment="1">
      <alignment horizontal="right"/>
    </xf>
    <xf numFmtId="0" fontId="30" fillId="0" borderId="0" xfId="0" applyFont="1" applyAlignment="1">
      <alignment wrapText="1"/>
    </xf>
    <xf numFmtId="0" fontId="29" fillId="7" borderId="11" xfId="0" applyFont="1" applyFill="1" applyBorder="1" applyAlignment="1">
      <alignment wrapText="1"/>
    </xf>
    <xf numFmtId="0" fontId="30" fillId="0" borderId="11" xfId="0" applyFont="1" applyBorder="1" applyAlignment="1">
      <alignment wrapText="1"/>
    </xf>
    <xf numFmtId="0" fontId="29" fillId="0" borderId="11" xfId="0" applyFont="1" applyBorder="1" applyAlignment="1">
      <alignment wrapText="1"/>
    </xf>
    <xf numFmtId="170" fontId="30" fillId="10" borderId="11" xfId="0" applyNumberFormat="1" applyFont="1" applyFill="1" applyBorder="1" applyAlignment="1">
      <alignment wrapText="1"/>
    </xf>
    <xf numFmtId="0" fontId="31" fillId="11" borderId="11" xfId="0" applyFont="1" applyFill="1" applyBorder="1" applyAlignment="1">
      <alignment wrapText="1"/>
    </xf>
    <xf numFmtId="170" fontId="30" fillId="0" borderId="11" xfId="0" applyNumberFormat="1" applyFont="1" applyBorder="1" applyAlignment="1">
      <alignment wrapText="1"/>
    </xf>
    <xf numFmtId="0" fontId="32" fillId="9" borderId="11" xfId="0" applyFont="1" applyFill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5" borderId="12" xfId="0" applyFont="1" applyFill="1" applyBorder="1" applyAlignment="1">
      <alignment wrapText="1"/>
    </xf>
    <xf numFmtId="0" fontId="7" fillId="5" borderId="12" xfId="0" applyFont="1" applyFill="1" applyBorder="1"/>
    <xf numFmtId="0" fontId="5" fillId="11" borderId="11" xfId="0" applyFont="1" applyFill="1" applyBorder="1" applyAlignment="1">
      <alignment wrapText="1"/>
    </xf>
    <xf numFmtId="0" fontId="7" fillId="11" borderId="11" xfId="0" applyFont="1" applyFill="1" applyBorder="1" applyAlignment="1">
      <alignment wrapText="1"/>
    </xf>
    <xf numFmtId="0" fontId="27" fillId="0" borderId="4" xfId="0" applyFont="1" applyBorder="1"/>
    <xf numFmtId="0" fontId="4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/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4" fillId="5" borderId="1" xfId="0" applyFont="1" applyFill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2" fillId="5" borderId="0" xfId="0" applyFont="1" applyFill="1"/>
    <xf numFmtId="0" fontId="23" fillId="0" borderId="0" xfId="0" applyFont="1"/>
    <xf numFmtId="0" fontId="24" fillId="8" borderId="0" xfId="0" applyFont="1" applyFill="1" applyAlignment="1">
      <alignment wrapText="1"/>
    </xf>
    <xf numFmtId="0" fontId="25" fillId="8" borderId="0" xfId="0" applyFont="1" applyFill="1" applyAlignment="1">
      <alignment wrapText="1"/>
    </xf>
    <xf numFmtId="0" fontId="26" fillId="0" borderId="0" xfId="0" applyFont="1"/>
    <xf numFmtId="0" fontId="13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7" fillId="0" borderId="5" xfId="0" applyFont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2" borderId="1" xfId="0" applyFont="1" applyFill="1" applyBorder="1"/>
    <xf numFmtId="0" fontId="17" fillId="7" borderId="3" xfId="0" applyFont="1" applyFill="1" applyBorder="1"/>
    <xf numFmtId="0" fontId="10" fillId="0" borderId="1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10" fillId="4" borderId="1" xfId="0" applyFont="1" applyFill="1" applyBorder="1" applyAlignment="1">
      <alignment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11" borderId="11" xfId="0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</xdr:colOff>
      <xdr:row>9</xdr:row>
      <xdr:rowOff>200025</xdr:rowOff>
    </xdr:from>
    <xdr:ext cx="5124450" cy="561975"/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161925</xdr:colOff>
      <xdr:row>2</xdr:row>
      <xdr:rowOff>76200</xdr:rowOff>
    </xdr:from>
    <xdr:ext cx="1943100" cy="561975"/>
    <xdr:pic>
      <xdr:nvPicPr>
        <xdr:cNvPr id="3" name="/xl/media/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962025</xdr:colOff>
      <xdr:row>10</xdr:row>
      <xdr:rowOff>219075</xdr:rowOff>
    </xdr:from>
    <xdr:ext cx="3162300" cy="438150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962025</xdr:colOff>
      <xdr:row>13</xdr:row>
      <xdr:rowOff>200025</xdr:rowOff>
    </xdr:from>
    <xdr:ext cx="1666875" cy="638175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971550</xdr:colOff>
      <xdr:row>14</xdr:row>
      <xdr:rowOff>28575</xdr:rowOff>
    </xdr:from>
    <xdr:ext cx="1800225" cy="638175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5"/>
  <sheetViews>
    <sheetView topLeftCell="A16" workbookViewId="0">
      <selection sqref="A1:C1"/>
    </sheetView>
  </sheetViews>
  <sheetFormatPr defaultColWidth="12.6328125" defaultRowHeight="12.5" x14ac:dyDescent="0.25"/>
  <cols>
    <col min="1" max="1" width="31" customWidth="1"/>
    <col min="2" max="2" width="16.26953125" customWidth="1"/>
    <col min="3" max="3" width="11.453125" customWidth="1"/>
    <col min="4" max="4" width="13.453125" customWidth="1"/>
    <col min="5" max="5" width="12.90625" customWidth="1"/>
    <col min="6" max="6" width="17.36328125" customWidth="1"/>
  </cols>
  <sheetData>
    <row r="1" spans="1:27" ht="15" x14ac:dyDescent="0.3">
      <c r="A1" s="112" t="s">
        <v>0</v>
      </c>
      <c r="B1" s="96"/>
      <c r="C1" s="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" x14ac:dyDescent="0.3">
      <c r="A2" s="2" t="s">
        <v>1</v>
      </c>
      <c r="B2" s="2" t="s">
        <v>2</v>
      </c>
      <c r="C2" s="3" t="s">
        <v>3</v>
      </c>
      <c r="D2" s="3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" x14ac:dyDescent="0.3">
      <c r="A3" s="4" t="s">
        <v>5</v>
      </c>
      <c r="B3" s="6">
        <v>12000000</v>
      </c>
      <c r="C3" s="8" t="s">
        <v>6</v>
      </c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" x14ac:dyDescent="0.3">
      <c r="A4" s="4" t="s">
        <v>7</v>
      </c>
      <c r="B4" s="6">
        <v>2400000</v>
      </c>
      <c r="C4" s="8" t="s">
        <v>6</v>
      </c>
      <c r="D4" s="10">
        <v>45657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" x14ac:dyDescent="0.3">
      <c r="A5" s="4" t="s">
        <v>8</v>
      </c>
      <c r="B5" s="6">
        <v>3600000</v>
      </c>
      <c r="C5" s="8" t="s">
        <v>6</v>
      </c>
      <c r="D5" s="10">
        <v>46752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42" x14ac:dyDescent="0.3">
      <c r="A6" s="4" t="s">
        <v>9</v>
      </c>
      <c r="B6" s="6">
        <v>8000000</v>
      </c>
      <c r="C6" s="8" t="s">
        <v>6</v>
      </c>
      <c r="D6" s="8" t="s">
        <v>10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" x14ac:dyDescent="0.3">
      <c r="A7" s="4" t="s">
        <v>11</v>
      </c>
      <c r="B7" s="11">
        <v>44926</v>
      </c>
      <c r="C7" s="8"/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8" x14ac:dyDescent="0.3">
      <c r="A8" s="4" t="s">
        <v>12</v>
      </c>
      <c r="B8" s="13">
        <v>0.15</v>
      </c>
      <c r="C8" s="8"/>
      <c r="D8" s="8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84" x14ac:dyDescent="0.3">
      <c r="A9" s="4" t="s">
        <v>14</v>
      </c>
      <c r="B9" s="8" t="s">
        <v>15</v>
      </c>
      <c r="C9" s="8"/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8" x14ac:dyDescent="0.3">
      <c r="A10" s="4" t="s">
        <v>16</v>
      </c>
      <c r="B10" s="8" t="s">
        <v>17</v>
      </c>
      <c r="C10" s="8"/>
      <c r="D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8" x14ac:dyDescent="0.3">
      <c r="A11" s="4" t="s">
        <v>18</v>
      </c>
      <c r="B11" s="8" t="s">
        <v>19</v>
      </c>
      <c r="C11" s="8"/>
      <c r="D11" s="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" x14ac:dyDescent="0.3">
      <c r="A12" s="1"/>
      <c r="B12" s="1"/>
      <c r="C12" s="1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x14ac:dyDescent="0.3">
      <c r="A13" s="112" t="s">
        <v>20</v>
      </c>
      <c r="B13" s="96"/>
      <c r="C13" s="96"/>
      <c r="D13" s="96"/>
      <c r="E13" s="96"/>
      <c r="F13" s="9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8" x14ac:dyDescent="0.3">
      <c r="A14" s="2" t="s">
        <v>21</v>
      </c>
      <c r="B14" s="2" t="s">
        <v>22</v>
      </c>
      <c r="C14" s="3" t="s">
        <v>23</v>
      </c>
      <c r="D14" s="3" t="s">
        <v>24</v>
      </c>
      <c r="E14" s="3" t="s">
        <v>25</v>
      </c>
      <c r="F14" s="3" t="s">
        <v>26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8" x14ac:dyDescent="0.3">
      <c r="A15" s="4" t="s">
        <v>27</v>
      </c>
      <c r="B15" s="4">
        <v>1</v>
      </c>
      <c r="C15" s="17">
        <v>0</v>
      </c>
      <c r="D15" s="8" t="s">
        <v>28</v>
      </c>
      <c r="E15" s="4">
        <v>958.77</v>
      </c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8" x14ac:dyDescent="0.3">
      <c r="A16" s="4" t="s">
        <v>29</v>
      </c>
      <c r="B16" s="4">
        <v>2</v>
      </c>
      <c r="C16" s="17">
        <v>0</v>
      </c>
      <c r="D16" s="8" t="s">
        <v>28</v>
      </c>
      <c r="E16" s="4">
        <v>922.78</v>
      </c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" x14ac:dyDescent="0.3">
      <c r="A17" s="4" t="s">
        <v>30</v>
      </c>
      <c r="B17" s="4">
        <v>3</v>
      </c>
      <c r="C17" s="17">
        <v>0.04</v>
      </c>
      <c r="D17" s="19" t="s">
        <v>31</v>
      </c>
      <c r="E17" s="20">
        <v>1002.49</v>
      </c>
      <c r="F17" s="8" t="s">
        <v>32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" x14ac:dyDescent="0.3">
      <c r="A18" s="4" t="s">
        <v>33</v>
      </c>
      <c r="B18" s="4">
        <v>5</v>
      </c>
      <c r="C18" s="21">
        <v>3.5000000000000003E-2</v>
      </c>
      <c r="D18" s="19" t="s">
        <v>31</v>
      </c>
      <c r="E18" s="4">
        <v>986.07</v>
      </c>
      <c r="F18" s="8" t="s">
        <v>34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" x14ac:dyDescent="0.3">
      <c r="A19" s="4" t="s">
        <v>35</v>
      </c>
      <c r="B19" s="4">
        <v>8</v>
      </c>
      <c r="C19" s="21">
        <v>4.4999999999999998E-2</v>
      </c>
      <c r="D19" s="19" t="s">
        <v>31</v>
      </c>
      <c r="E19" s="20">
        <v>1040.71</v>
      </c>
      <c r="F19" s="8" t="s">
        <v>36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" x14ac:dyDescent="0.3">
      <c r="A20" s="1"/>
      <c r="B20" s="1"/>
      <c r="C20" s="1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 x14ac:dyDescent="0.3">
      <c r="A21" s="98" t="s">
        <v>37</v>
      </c>
      <c r="B21" s="96"/>
      <c r="C21" s="96"/>
      <c r="D21" s="96"/>
      <c r="E21" s="96"/>
      <c r="F21" s="9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" x14ac:dyDescent="0.3">
      <c r="A22" s="23" t="s">
        <v>38</v>
      </c>
      <c r="B22" s="23" t="s">
        <v>39</v>
      </c>
      <c r="C22" s="24" t="s">
        <v>40</v>
      </c>
      <c r="D22" s="23" t="s">
        <v>41</v>
      </c>
      <c r="E22" s="119" t="s">
        <v>42</v>
      </c>
      <c r="F22" s="120" t="s">
        <v>201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" x14ac:dyDescent="0.3">
      <c r="A23" s="4" t="s">
        <v>43</v>
      </c>
      <c r="B23" s="25">
        <v>2.3E-2</v>
      </c>
      <c r="C23" s="17">
        <v>0.02</v>
      </c>
      <c r="D23" s="13">
        <v>0.04</v>
      </c>
      <c r="E23" s="121" t="s">
        <v>44</v>
      </c>
      <c r="F23" s="122" t="s">
        <v>202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" x14ac:dyDescent="0.3">
      <c r="A24" s="4" t="s">
        <v>45</v>
      </c>
      <c r="B24" s="4">
        <v>3</v>
      </c>
      <c r="C24" s="8">
        <v>3</v>
      </c>
      <c r="D24" s="61">
        <v>6</v>
      </c>
      <c r="E24" s="121" t="s">
        <v>203</v>
      </c>
      <c r="F24" s="122" t="s">
        <v>204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" x14ac:dyDescent="0.3">
      <c r="A25" s="4" t="s">
        <v>46</v>
      </c>
      <c r="B25" s="27">
        <v>0</v>
      </c>
      <c r="C25" s="28">
        <v>0</v>
      </c>
      <c r="D25" s="27">
        <v>250000</v>
      </c>
      <c r="E25" s="121" t="s">
        <v>47</v>
      </c>
      <c r="F25" s="122" t="s">
        <v>205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" x14ac:dyDescent="0.3">
      <c r="A26" s="4" t="s">
        <v>48</v>
      </c>
      <c r="B26" s="13">
        <v>0.01</v>
      </c>
      <c r="C26" s="29">
        <v>-0.01</v>
      </c>
      <c r="D26" s="13">
        <v>0.01</v>
      </c>
      <c r="E26" s="121" t="s">
        <v>49</v>
      </c>
      <c r="F26" s="122" t="s">
        <v>202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" x14ac:dyDescent="0.3">
      <c r="A27" s="4" t="s">
        <v>50</v>
      </c>
      <c r="B27" s="25">
        <v>5.0000000000000001E-3</v>
      </c>
      <c r="C27" s="30">
        <v>-5.0000000000000001E-3</v>
      </c>
      <c r="D27" s="25">
        <v>5.0000000000000001E-3</v>
      </c>
      <c r="E27" s="121" t="s">
        <v>51</v>
      </c>
      <c r="F27" s="122" t="s">
        <v>202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" x14ac:dyDescent="0.3">
      <c r="A28" s="4" t="s">
        <v>52</v>
      </c>
      <c r="B28" s="30">
        <v>-5.0000000000000001E-3</v>
      </c>
      <c r="C28" s="30">
        <v>-2.5000000000000001E-3</v>
      </c>
      <c r="D28" s="25">
        <v>2.5000000000000001E-3</v>
      </c>
      <c r="E28" s="121" t="s">
        <v>53</v>
      </c>
      <c r="F28" s="122" t="s">
        <v>202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2" x14ac:dyDescent="0.3">
      <c r="A29" s="31" t="s">
        <v>54</v>
      </c>
      <c r="B29" s="32" t="s">
        <v>55</v>
      </c>
      <c r="C29" s="33" t="s">
        <v>56</v>
      </c>
      <c r="D29" s="34" t="s">
        <v>57</v>
      </c>
      <c r="E29" s="123" t="s">
        <v>58</v>
      </c>
      <c r="F29" s="122" t="s">
        <v>202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spans="1:27" ht="15" x14ac:dyDescent="0.3">
      <c r="A30" s="98" t="s">
        <v>59</v>
      </c>
      <c r="B30" s="96"/>
      <c r="C30" s="96"/>
      <c r="D30" s="96"/>
      <c r="E30" s="9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 x14ac:dyDescent="0.3">
      <c r="A31" s="113" t="s">
        <v>60</v>
      </c>
      <c r="B31" s="114"/>
      <c r="C31" s="114"/>
      <c r="D31" s="114"/>
      <c r="E31" s="1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 x14ac:dyDescent="0.3">
      <c r="A32" s="116"/>
      <c r="B32" s="117"/>
      <c r="C32" s="117"/>
      <c r="D32" s="117"/>
      <c r="E32" s="11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 x14ac:dyDescent="0.3">
      <c r="A33" s="1"/>
      <c r="B33" s="1"/>
      <c r="C33" s="1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 x14ac:dyDescent="0.3">
      <c r="A34" s="1"/>
      <c r="B34" s="1"/>
      <c r="C34" s="1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 x14ac:dyDescent="0.3">
      <c r="A35" s="1"/>
      <c r="B35" s="1"/>
      <c r="C35" s="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 x14ac:dyDescent="0.3">
      <c r="A36" s="1"/>
      <c r="B36" s="1"/>
      <c r="C36" s="1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 x14ac:dyDescent="0.3">
      <c r="A37" s="1"/>
      <c r="B37" s="1"/>
      <c r="C37" s="1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 x14ac:dyDescent="0.3">
      <c r="A38" s="1"/>
      <c r="B38" s="1"/>
      <c r="C38" s="1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 x14ac:dyDescent="0.3">
      <c r="A39" s="1"/>
      <c r="B39" s="1"/>
      <c r="C39" s="1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 x14ac:dyDescent="0.3">
      <c r="A40" s="1"/>
      <c r="B40" s="1"/>
      <c r="C40" s="1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 x14ac:dyDescent="0.3">
      <c r="A41" s="1"/>
      <c r="B41" s="1"/>
      <c r="C41" s="1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 x14ac:dyDescent="0.3">
      <c r="A42" s="1"/>
      <c r="B42" s="1"/>
      <c r="C42" s="1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 x14ac:dyDescent="0.3">
      <c r="A43" s="1"/>
      <c r="B43" s="1"/>
      <c r="C43" s="1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 x14ac:dyDescent="0.3">
      <c r="A44" s="1"/>
      <c r="B44" s="1"/>
      <c r="C44" s="1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 x14ac:dyDescent="0.3">
      <c r="A45" s="1"/>
      <c r="B45" s="1"/>
      <c r="C45" s="1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 x14ac:dyDescent="0.3">
      <c r="A46" s="1"/>
      <c r="B46" s="1"/>
      <c r="C46" s="1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 x14ac:dyDescent="0.3">
      <c r="A47" s="1"/>
      <c r="B47" s="1"/>
      <c r="C47" s="1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 x14ac:dyDescent="0.3">
      <c r="A48" s="1"/>
      <c r="B48" s="1"/>
      <c r="C48" s="1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 x14ac:dyDescent="0.3">
      <c r="A49" s="1"/>
      <c r="B49" s="1"/>
      <c r="C49" s="1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 x14ac:dyDescent="0.3">
      <c r="A50" s="1"/>
      <c r="B50" s="1"/>
      <c r="C50" s="1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 x14ac:dyDescent="0.3">
      <c r="A51" s="1"/>
      <c r="B51" s="1"/>
      <c r="C51" s="1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x14ac:dyDescent="0.3">
      <c r="A52" s="1"/>
      <c r="B52" s="1"/>
      <c r="C52" s="1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x14ac:dyDescent="0.3">
      <c r="A53" s="1"/>
      <c r="B53" s="1"/>
      <c r="C53" s="1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x14ac:dyDescent="0.3">
      <c r="A54" s="1"/>
      <c r="B54" s="1"/>
      <c r="C54" s="1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x14ac:dyDescent="0.3">
      <c r="A55" s="1"/>
      <c r="B55" s="1"/>
      <c r="C55" s="1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x14ac:dyDescent="0.3">
      <c r="A56" s="1"/>
      <c r="B56" s="1"/>
      <c r="C56" s="1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x14ac:dyDescent="0.3">
      <c r="A57" s="1"/>
      <c r="B57" s="1"/>
      <c r="C57" s="1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x14ac:dyDescent="0.3">
      <c r="A58" s="1"/>
      <c r="B58" s="1"/>
      <c r="C58" s="1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x14ac:dyDescent="0.3">
      <c r="A59" s="1"/>
      <c r="B59" s="1"/>
      <c r="C59" s="1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x14ac:dyDescent="0.3">
      <c r="A60" s="1"/>
      <c r="B60" s="1"/>
      <c r="C60" s="1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x14ac:dyDescent="0.3">
      <c r="A61" s="1"/>
      <c r="B61" s="1"/>
      <c r="C61" s="1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x14ac:dyDescent="0.3">
      <c r="A62" s="1"/>
      <c r="B62" s="1"/>
      <c r="C62" s="1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x14ac:dyDescent="0.3">
      <c r="A63" s="1"/>
      <c r="B63" s="1"/>
      <c r="C63" s="1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x14ac:dyDescent="0.3">
      <c r="A64" s="1"/>
      <c r="B64" s="1"/>
      <c r="C64" s="1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x14ac:dyDescent="0.3">
      <c r="A65" s="1"/>
      <c r="B65" s="1"/>
      <c r="C65" s="1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 x14ac:dyDescent="0.3">
      <c r="A66" s="1"/>
      <c r="B66" s="1"/>
      <c r="C66" s="1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 x14ac:dyDescent="0.3">
      <c r="A67" s="1"/>
      <c r="B67" s="1"/>
      <c r="C67" s="1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 x14ac:dyDescent="0.3">
      <c r="A68" s="1"/>
      <c r="B68" s="1"/>
      <c r="C68" s="1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 x14ac:dyDescent="0.3">
      <c r="A69" s="1"/>
      <c r="B69" s="1"/>
      <c r="C69" s="1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 x14ac:dyDescent="0.3">
      <c r="A70" s="1"/>
      <c r="B70" s="1"/>
      <c r="C70" s="1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 x14ac:dyDescent="0.3">
      <c r="A71" s="1"/>
      <c r="B71" s="1"/>
      <c r="C71" s="1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 x14ac:dyDescent="0.3">
      <c r="A72" s="1"/>
      <c r="B72" s="1"/>
      <c r="C72" s="1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 x14ac:dyDescent="0.3">
      <c r="A73" s="1"/>
      <c r="B73" s="1"/>
      <c r="C73" s="1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 x14ac:dyDescent="0.3">
      <c r="A74" s="1"/>
      <c r="B74" s="1"/>
      <c r="C74" s="1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 x14ac:dyDescent="0.3">
      <c r="A75" s="1"/>
      <c r="B75" s="1"/>
      <c r="C75" s="1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 x14ac:dyDescent="0.3">
      <c r="A76" s="1"/>
      <c r="B76" s="1"/>
      <c r="C76" s="1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 x14ac:dyDescent="0.3">
      <c r="A77" s="1"/>
      <c r="B77" s="1"/>
      <c r="C77" s="1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 x14ac:dyDescent="0.3">
      <c r="A78" s="1"/>
      <c r="B78" s="1"/>
      <c r="C78" s="1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x14ac:dyDescent="0.3">
      <c r="A79" s="1"/>
      <c r="B79" s="1"/>
      <c r="C79" s="1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 x14ac:dyDescent="0.3">
      <c r="A80" s="1"/>
      <c r="B80" s="1"/>
      <c r="C80" s="1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 x14ac:dyDescent="0.3">
      <c r="A81" s="1"/>
      <c r="B81" s="1"/>
      <c r="C81" s="1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 x14ac:dyDescent="0.3">
      <c r="A82" s="1"/>
      <c r="B82" s="1"/>
      <c r="C82" s="1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 x14ac:dyDescent="0.3">
      <c r="A83" s="1"/>
      <c r="B83" s="1"/>
      <c r="C83" s="1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x14ac:dyDescent="0.3">
      <c r="A84" s="1"/>
      <c r="B84" s="1"/>
      <c r="C84" s="1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 x14ac:dyDescent="0.3">
      <c r="A85" s="1"/>
      <c r="B85" s="1"/>
      <c r="C85" s="1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 x14ac:dyDescent="0.3">
      <c r="A86" s="1"/>
      <c r="B86" s="1"/>
      <c r="C86" s="1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 x14ac:dyDescent="0.3">
      <c r="A87" s="1"/>
      <c r="B87" s="1"/>
      <c r="C87" s="1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 x14ac:dyDescent="0.3">
      <c r="A88" s="1"/>
      <c r="B88" s="1"/>
      <c r="C88" s="1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 x14ac:dyDescent="0.3">
      <c r="A89" s="1"/>
      <c r="B89" s="1"/>
      <c r="C89" s="1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 x14ac:dyDescent="0.3">
      <c r="A90" s="1"/>
      <c r="B90" s="1"/>
      <c r="C90" s="1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 x14ac:dyDescent="0.3">
      <c r="A91" s="1"/>
      <c r="B91" s="1"/>
      <c r="C91" s="1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 x14ac:dyDescent="0.3">
      <c r="A92" s="1"/>
      <c r="B92" s="1"/>
      <c r="C92" s="1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 x14ac:dyDescent="0.3">
      <c r="A93" s="1"/>
      <c r="B93" s="1"/>
      <c r="C93" s="1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 x14ac:dyDescent="0.3">
      <c r="A94" s="1"/>
      <c r="B94" s="1"/>
      <c r="C94" s="1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 x14ac:dyDescent="0.3">
      <c r="A95" s="1"/>
      <c r="B95" s="1"/>
      <c r="C95" s="1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 x14ac:dyDescent="0.3">
      <c r="A96" s="1"/>
      <c r="B96" s="1"/>
      <c r="C96" s="1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 x14ac:dyDescent="0.3">
      <c r="A97" s="1"/>
      <c r="B97" s="1"/>
      <c r="C97" s="1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 x14ac:dyDescent="0.3">
      <c r="A98" s="1"/>
      <c r="B98" s="1"/>
      <c r="C98" s="1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 x14ac:dyDescent="0.3">
      <c r="A99" s="1"/>
      <c r="B99" s="1"/>
      <c r="C99" s="1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 x14ac:dyDescent="0.3">
      <c r="A100" s="1"/>
      <c r="B100" s="1"/>
      <c r="C100" s="1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 x14ac:dyDescent="0.3">
      <c r="A101" s="1"/>
      <c r="B101" s="1"/>
      <c r="C101" s="1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 x14ac:dyDescent="0.3">
      <c r="A102" s="1"/>
      <c r="B102" s="1"/>
      <c r="C102" s="1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 x14ac:dyDescent="0.3">
      <c r="A103" s="1"/>
      <c r="B103" s="1"/>
      <c r="C103" s="1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 x14ac:dyDescent="0.3">
      <c r="A104" s="1"/>
      <c r="B104" s="1"/>
      <c r="C104" s="1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 x14ac:dyDescent="0.3">
      <c r="A105" s="1"/>
      <c r="B105" s="1"/>
      <c r="C105" s="1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 x14ac:dyDescent="0.3">
      <c r="A106" s="1"/>
      <c r="B106" s="1"/>
      <c r="C106" s="1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 x14ac:dyDescent="0.3">
      <c r="A107" s="1"/>
      <c r="B107" s="1"/>
      <c r="C107" s="1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 x14ac:dyDescent="0.3">
      <c r="A108" s="1"/>
      <c r="B108" s="1"/>
      <c r="C108" s="1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 x14ac:dyDescent="0.3">
      <c r="A109" s="1"/>
      <c r="B109" s="1"/>
      <c r="C109" s="1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 x14ac:dyDescent="0.3">
      <c r="A110" s="1"/>
      <c r="B110" s="1"/>
      <c r="C110" s="1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 x14ac:dyDescent="0.3">
      <c r="A111" s="1"/>
      <c r="B111" s="1"/>
      <c r="C111" s="1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 x14ac:dyDescent="0.3">
      <c r="A112" s="1"/>
      <c r="B112" s="1"/>
      <c r="C112" s="1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 x14ac:dyDescent="0.3">
      <c r="A113" s="1"/>
      <c r="B113" s="1"/>
      <c r="C113" s="1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 x14ac:dyDescent="0.3">
      <c r="A114" s="1"/>
      <c r="B114" s="1"/>
      <c r="C114" s="1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 x14ac:dyDescent="0.3">
      <c r="A115" s="1"/>
      <c r="B115" s="1"/>
      <c r="C115" s="1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 x14ac:dyDescent="0.3">
      <c r="A116" s="1"/>
      <c r="B116" s="1"/>
      <c r="C116" s="1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 x14ac:dyDescent="0.3">
      <c r="A117" s="1"/>
      <c r="B117" s="1"/>
      <c r="C117" s="1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 x14ac:dyDescent="0.3">
      <c r="A118" s="1"/>
      <c r="B118" s="1"/>
      <c r="C118" s="1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 x14ac:dyDescent="0.3">
      <c r="A119" s="1"/>
      <c r="B119" s="1"/>
      <c r="C119" s="1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 x14ac:dyDescent="0.3">
      <c r="A120" s="1"/>
      <c r="B120" s="1"/>
      <c r="C120" s="1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 x14ac:dyDescent="0.3">
      <c r="A121" s="1"/>
      <c r="B121" s="1"/>
      <c r="C121" s="1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 x14ac:dyDescent="0.3">
      <c r="A122" s="1"/>
      <c r="B122" s="1"/>
      <c r="C122" s="1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 x14ac:dyDescent="0.3">
      <c r="A123" s="1"/>
      <c r="B123" s="1"/>
      <c r="C123" s="1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 x14ac:dyDescent="0.3">
      <c r="A124" s="1"/>
      <c r="B124" s="1"/>
      <c r="C124" s="1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 x14ac:dyDescent="0.3">
      <c r="A125" s="1"/>
      <c r="B125" s="1"/>
      <c r="C125" s="1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 x14ac:dyDescent="0.3">
      <c r="A126" s="1"/>
      <c r="B126" s="1"/>
      <c r="C126" s="1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 x14ac:dyDescent="0.3">
      <c r="A127" s="1"/>
      <c r="B127" s="1"/>
      <c r="C127" s="1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 x14ac:dyDescent="0.3">
      <c r="A128" s="1"/>
      <c r="B128" s="1"/>
      <c r="C128" s="1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 x14ac:dyDescent="0.3">
      <c r="A129" s="1"/>
      <c r="B129" s="1"/>
      <c r="C129" s="1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 x14ac:dyDescent="0.3">
      <c r="A130" s="1"/>
      <c r="B130" s="1"/>
      <c r="C130" s="1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 x14ac:dyDescent="0.3">
      <c r="A131" s="1"/>
      <c r="B131" s="1"/>
      <c r="C131" s="1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 x14ac:dyDescent="0.3">
      <c r="A132" s="1"/>
      <c r="B132" s="1"/>
      <c r="C132" s="1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 x14ac:dyDescent="0.3">
      <c r="A133" s="1"/>
      <c r="B133" s="1"/>
      <c r="C133" s="1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 x14ac:dyDescent="0.3">
      <c r="A134" s="1"/>
      <c r="B134" s="1"/>
      <c r="C134" s="1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 x14ac:dyDescent="0.3">
      <c r="A135" s="1"/>
      <c r="B135" s="1"/>
      <c r="C135" s="1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 x14ac:dyDescent="0.3">
      <c r="A136" s="1"/>
      <c r="B136" s="1"/>
      <c r="C136" s="1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 x14ac:dyDescent="0.3">
      <c r="A137" s="1"/>
      <c r="B137" s="1"/>
      <c r="C137" s="1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 x14ac:dyDescent="0.3">
      <c r="A138" s="1"/>
      <c r="B138" s="1"/>
      <c r="C138" s="1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 x14ac:dyDescent="0.3">
      <c r="A139" s="1"/>
      <c r="B139" s="1"/>
      <c r="C139" s="1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 x14ac:dyDescent="0.3">
      <c r="A140" s="1"/>
      <c r="B140" s="1"/>
      <c r="C140" s="1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 x14ac:dyDescent="0.3">
      <c r="A141" s="1"/>
      <c r="B141" s="1"/>
      <c r="C141" s="1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x14ac:dyDescent="0.3">
      <c r="A142" s="1"/>
      <c r="B142" s="1"/>
      <c r="C142" s="1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x14ac:dyDescent="0.3">
      <c r="A143" s="1"/>
      <c r="B143" s="1"/>
      <c r="C143" s="1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x14ac:dyDescent="0.3">
      <c r="A144" s="1"/>
      <c r="B144" s="1"/>
      <c r="C144" s="1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x14ac:dyDescent="0.3">
      <c r="A145" s="1"/>
      <c r="B145" s="1"/>
      <c r="C145" s="1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 x14ac:dyDescent="0.3">
      <c r="A146" s="1"/>
      <c r="B146" s="1"/>
      <c r="C146" s="1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 x14ac:dyDescent="0.3">
      <c r="A147" s="1"/>
      <c r="B147" s="1"/>
      <c r="C147" s="1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 x14ac:dyDescent="0.3">
      <c r="A148" s="1"/>
      <c r="B148" s="1"/>
      <c r="C148" s="1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 x14ac:dyDescent="0.3">
      <c r="A149" s="1"/>
      <c r="B149" s="1"/>
      <c r="C149" s="1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 x14ac:dyDescent="0.3">
      <c r="A150" s="1"/>
      <c r="B150" s="1"/>
      <c r="C150" s="1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 x14ac:dyDescent="0.3">
      <c r="A151" s="1"/>
      <c r="B151" s="1"/>
      <c r="C151" s="1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 x14ac:dyDescent="0.3">
      <c r="A152" s="1"/>
      <c r="B152" s="1"/>
      <c r="C152" s="1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x14ac:dyDescent="0.3">
      <c r="A153" s="1"/>
      <c r="B153" s="1"/>
      <c r="C153" s="1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x14ac:dyDescent="0.3">
      <c r="A154" s="1"/>
      <c r="B154" s="1"/>
      <c r="C154" s="1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 x14ac:dyDescent="0.3">
      <c r="A155" s="1"/>
      <c r="B155" s="1"/>
      <c r="C155" s="1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 x14ac:dyDescent="0.3">
      <c r="A156" s="1"/>
      <c r="B156" s="1"/>
      <c r="C156" s="1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 x14ac:dyDescent="0.3">
      <c r="A157" s="1"/>
      <c r="B157" s="1"/>
      <c r="C157" s="1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 x14ac:dyDescent="0.3">
      <c r="A158" s="1"/>
      <c r="B158" s="1"/>
      <c r="C158" s="1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x14ac:dyDescent="0.3">
      <c r="A159" s="1"/>
      <c r="B159" s="1"/>
      <c r="C159" s="1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x14ac:dyDescent="0.3">
      <c r="A160" s="1"/>
      <c r="B160" s="1"/>
      <c r="C160" s="1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x14ac:dyDescent="0.3">
      <c r="A161" s="1"/>
      <c r="B161" s="1"/>
      <c r="C161" s="1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x14ac:dyDescent="0.3">
      <c r="A162" s="1"/>
      <c r="B162" s="1"/>
      <c r="C162" s="1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x14ac:dyDescent="0.3">
      <c r="A163" s="1"/>
      <c r="B163" s="1"/>
      <c r="C163" s="1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x14ac:dyDescent="0.3">
      <c r="A164" s="1"/>
      <c r="B164" s="1"/>
      <c r="C164" s="1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x14ac:dyDescent="0.3">
      <c r="A165" s="1"/>
      <c r="B165" s="1"/>
      <c r="C165" s="1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x14ac:dyDescent="0.3">
      <c r="A166" s="1"/>
      <c r="B166" s="1"/>
      <c r="C166" s="1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x14ac:dyDescent="0.3">
      <c r="A167" s="1"/>
      <c r="B167" s="1"/>
      <c r="C167" s="1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x14ac:dyDescent="0.3">
      <c r="A168" s="1"/>
      <c r="B168" s="1"/>
      <c r="C168" s="1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x14ac:dyDescent="0.3">
      <c r="A169" s="1"/>
      <c r="B169" s="1"/>
      <c r="C169" s="1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x14ac:dyDescent="0.3">
      <c r="A170" s="1"/>
      <c r="B170" s="1"/>
      <c r="C170" s="1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x14ac:dyDescent="0.3">
      <c r="A171" s="1"/>
      <c r="B171" s="1"/>
      <c r="C171" s="1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x14ac:dyDescent="0.3">
      <c r="A172" s="1"/>
      <c r="B172" s="1"/>
      <c r="C172" s="1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x14ac:dyDescent="0.3">
      <c r="A173" s="1"/>
      <c r="B173" s="1"/>
      <c r="C173" s="1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x14ac:dyDescent="0.3">
      <c r="A174" s="1"/>
      <c r="B174" s="1"/>
      <c r="C174" s="1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x14ac:dyDescent="0.3">
      <c r="A175" s="1"/>
      <c r="B175" s="1"/>
      <c r="C175" s="1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x14ac:dyDescent="0.3">
      <c r="A176" s="1"/>
      <c r="B176" s="1"/>
      <c r="C176" s="1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 x14ac:dyDescent="0.3">
      <c r="A177" s="1"/>
      <c r="B177" s="1"/>
      <c r="C177" s="1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x14ac:dyDescent="0.3">
      <c r="A178" s="1"/>
      <c r="B178" s="1"/>
      <c r="C178" s="1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x14ac:dyDescent="0.3">
      <c r="A179" s="1"/>
      <c r="B179" s="1"/>
      <c r="C179" s="1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x14ac:dyDescent="0.3">
      <c r="A180" s="1"/>
      <c r="B180" s="1"/>
      <c r="C180" s="1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x14ac:dyDescent="0.3">
      <c r="A181" s="1"/>
      <c r="B181" s="1"/>
      <c r="C181" s="1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x14ac:dyDescent="0.3">
      <c r="A182" s="1"/>
      <c r="B182" s="1"/>
      <c r="C182" s="1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 x14ac:dyDescent="0.3">
      <c r="A183" s="1"/>
      <c r="B183" s="1"/>
      <c r="C183" s="1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 x14ac:dyDescent="0.3">
      <c r="A184" s="1"/>
      <c r="B184" s="1"/>
      <c r="C184" s="1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 x14ac:dyDescent="0.3">
      <c r="A185" s="1"/>
      <c r="B185" s="1"/>
      <c r="C185" s="1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 x14ac:dyDescent="0.3">
      <c r="A186" s="1"/>
      <c r="B186" s="1"/>
      <c r="C186" s="1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 x14ac:dyDescent="0.3">
      <c r="A187" s="1"/>
      <c r="B187" s="1"/>
      <c r="C187" s="1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 x14ac:dyDescent="0.3">
      <c r="A188" s="1"/>
      <c r="B188" s="1"/>
      <c r="C188" s="1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 x14ac:dyDescent="0.3">
      <c r="A189" s="1"/>
      <c r="B189" s="1"/>
      <c r="C189" s="1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 x14ac:dyDescent="0.3">
      <c r="A190" s="1"/>
      <c r="B190" s="1"/>
      <c r="C190" s="1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 x14ac:dyDescent="0.3">
      <c r="A191" s="1"/>
      <c r="B191" s="1"/>
      <c r="C191" s="1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 x14ac:dyDescent="0.3">
      <c r="A192" s="1"/>
      <c r="B192" s="1"/>
      <c r="C192" s="1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 x14ac:dyDescent="0.3">
      <c r="A193" s="1"/>
      <c r="B193" s="1"/>
      <c r="C193" s="1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 x14ac:dyDescent="0.3">
      <c r="A194" s="1"/>
      <c r="B194" s="1"/>
      <c r="C194" s="1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 x14ac:dyDescent="0.3">
      <c r="A195" s="1"/>
      <c r="B195" s="1"/>
      <c r="C195" s="1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 x14ac:dyDescent="0.3">
      <c r="A196" s="1"/>
      <c r="B196" s="1"/>
      <c r="C196" s="1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 x14ac:dyDescent="0.3">
      <c r="A197" s="1"/>
      <c r="B197" s="1"/>
      <c r="C197" s="1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 x14ac:dyDescent="0.3">
      <c r="A198" s="1"/>
      <c r="B198" s="1"/>
      <c r="C198" s="1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 x14ac:dyDescent="0.3">
      <c r="A199" s="1"/>
      <c r="B199" s="1"/>
      <c r="C199" s="1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 x14ac:dyDescent="0.3">
      <c r="A200" s="1"/>
      <c r="B200" s="1"/>
      <c r="C200" s="1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 x14ac:dyDescent="0.3">
      <c r="A201" s="1"/>
      <c r="B201" s="1"/>
      <c r="C201" s="1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 x14ac:dyDescent="0.3">
      <c r="A202" s="1"/>
      <c r="B202" s="1"/>
      <c r="C202" s="1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 x14ac:dyDescent="0.3">
      <c r="A203" s="1"/>
      <c r="B203" s="1"/>
      <c r="C203" s="1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 x14ac:dyDescent="0.3">
      <c r="A204" s="1"/>
      <c r="B204" s="1"/>
      <c r="C204" s="1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 x14ac:dyDescent="0.3">
      <c r="A205" s="1"/>
      <c r="B205" s="1"/>
      <c r="C205" s="1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 x14ac:dyDescent="0.3">
      <c r="A206" s="1"/>
      <c r="B206" s="1"/>
      <c r="C206" s="1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 x14ac:dyDescent="0.3">
      <c r="A207" s="1"/>
      <c r="B207" s="1"/>
      <c r="C207" s="1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 x14ac:dyDescent="0.3">
      <c r="A208" s="1"/>
      <c r="B208" s="1"/>
      <c r="C208" s="1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 x14ac:dyDescent="0.3">
      <c r="A209" s="1"/>
      <c r="B209" s="1"/>
      <c r="C209" s="1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 x14ac:dyDescent="0.3">
      <c r="A210" s="1"/>
      <c r="B210" s="1"/>
      <c r="C210" s="1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 x14ac:dyDescent="0.3">
      <c r="A211" s="1"/>
      <c r="B211" s="1"/>
      <c r="C211" s="1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 x14ac:dyDescent="0.3">
      <c r="A212" s="1"/>
      <c r="B212" s="1"/>
      <c r="C212" s="1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 x14ac:dyDescent="0.3">
      <c r="A213" s="1"/>
      <c r="B213" s="1"/>
      <c r="C213" s="1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 x14ac:dyDescent="0.3">
      <c r="A214" s="1"/>
      <c r="B214" s="1"/>
      <c r="C214" s="1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 x14ac:dyDescent="0.3">
      <c r="A215" s="1"/>
      <c r="B215" s="1"/>
      <c r="C215" s="1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 x14ac:dyDescent="0.3">
      <c r="A216" s="1"/>
      <c r="B216" s="1"/>
      <c r="C216" s="1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 x14ac:dyDescent="0.3">
      <c r="A217" s="1"/>
      <c r="B217" s="1"/>
      <c r="C217" s="1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 x14ac:dyDescent="0.3">
      <c r="A218" s="1"/>
      <c r="B218" s="1"/>
      <c r="C218" s="1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 x14ac:dyDescent="0.3">
      <c r="A219" s="1"/>
      <c r="B219" s="1"/>
      <c r="C219" s="1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 x14ac:dyDescent="0.3">
      <c r="A220" s="1"/>
      <c r="B220" s="1"/>
      <c r="C220" s="1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 x14ac:dyDescent="0.3">
      <c r="A221" s="1"/>
      <c r="B221" s="1"/>
      <c r="C221" s="1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 x14ac:dyDescent="0.3">
      <c r="A222" s="1"/>
      <c r="B222" s="1"/>
      <c r="C222" s="1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 x14ac:dyDescent="0.3">
      <c r="A223" s="1"/>
      <c r="B223" s="1"/>
      <c r="C223" s="1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 x14ac:dyDescent="0.3">
      <c r="A224" s="1"/>
      <c r="B224" s="1"/>
      <c r="C224" s="1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 x14ac:dyDescent="0.3">
      <c r="A225" s="1"/>
      <c r="B225" s="1"/>
      <c r="C225" s="1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 x14ac:dyDescent="0.3">
      <c r="A226" s="1"/>
      <c r="B226" s="1"/>
      <c r="C226" s="1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 x14ac:dyDescent="0.3">
      <c r="A227" s="1"/>
      <c r="B227" s="1"/>
      <c r="C227" s="1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 x14ac:dyDescent="0.3">
      <c r="A228" s="1"/>
      <c r="B228" s="1"/>
      <c r="C228" s="1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 x14ac:dyDescent="0.3">
      <c r="A229" s="1"/>
      <c r="B229" s="1"/>
      <c r="C229" s="1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 x14ac:dyDescent="0.3">
      <c r="A230" s="1"/>
      <c r="B230" s="1"/>
      <c r="C230" s="1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 x14ac:dyDescent="0.3">
      <c r="A231" s="1"/>
      <c r="B231" s="1"/>
      <c r="C231" s="1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 x14ac:dyDescent="0.3">
      <c r="A232" s="1"/>
      <c r="B232" s="1"/>
      <c r="C232" s="1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 x14ac:dyDescent="0.3">
      <c r="A233" s="1"/>
      <c r="B233" s="1"/>
      <c r="C233" s="1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 x14ac:dyDescent="0.3">
      <c r="A234" s="1"/>
      <c r="B234" s="1"/>
      <c r="C234" s="1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 x14ac:dyDescent="0.3">
      <c r="A235" s="1"/>
      <c r="B235" s="1"/>
      <c r="C235" s="1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 x14ac:dyDescent="0.3">
      <c r="A236" s="1"/>
      <c r="B236" s="1"/>
      <c r="C236" s="1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 x14ac:dyDescent="0.3">
      <c r="A237" s="1"/>
      <c r="B237" s="1"/>
      <c r="C237" s="1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 x14ac:dyDescent="0.3">
      <c r="A238" s="1"/>
      <c r="B238" s="1"/>
      <c r="C238" s="1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 x14ac:dyDescent="0.3">
      <c r="A239" s="1"/>
      <c r="B239" s="1"/>
      <c r="C239" s="1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 x14ac:dyDescent="0.3">
      <c r="A240" s="1"/>
      <c r="B240" s="1"/>
      <c r="C240" s="1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 x14ac:dyDescent="0.3">
      <c r="A241" s="1"/>
      <c r="B241" s="1"/>
      <c r="C241" s="1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 x14ac:dyDescent="0.3">
      <c r="A242" s="1"/>
      <c r="B242" s="1"/>
      <c r="C242" s="1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 x14ac:dyDescent="0.3">
      <c r="A243" s="1"/>
      <c r="B243" s="1"/>
      <c r="C243" s="1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 x14ac:dyDescent="0.3">
      <c r="A244" s="1"/>
      <c r="B244" s="1"/>
      <c r="C244" s="1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 x14ac:dyDescent="0.3">
      <c r="A245" s="1"/>
      <c r="B245" s="1"/>
      <c r="C245" s="1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 x14ac:dyDescent="0.3">
      <c r="A246" s="1"/>
      <c r="B246" s="1"/>
      <c r="C246" s="1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 x14ac:dyDescent="0.3">
      <c r="A247" s="1"/>
      <c r="B247" s="1"/>
      <c r="C247" s="1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 x14ac:dyDescent="0.3">
      <c r="A248" s="1"/>
      <c r="B248" s="1"/>
      <c r="C248" s="1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 x14ac:dyDescent="0.3">
      <c r="A249" s="1"/>
      <c r="B249" s="1"/>
      <c r="C249" s="1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 x14ac:dyDescent="0.3">
      <c r="A250" s="1"/>
      <c r="B250" s="1"/>
      <c r="C250" s="1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 x14ac:dyDescent="0.3">
      <c r="A251" s="1"/>
      <c r="B251" s="1"/>
      <c r="C251" s="1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 x14ac:dyDescent="0.3">
      <c r="A252" s="1"/>
      <c r="B252" s="1"/>
      <c r="C252" s="1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 x14ac:dyDescent="0.3">
      <c r="A253" s="1"/>
      <c r="B253" s="1"/>
      <c r="C253" s="1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 x14ac:dyDescent="0.3">
      <c r="A254" s="1"/>
      <c r="B254" s="1"/>
      <c r="C254" s="1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 x14ac:dyDescent="0.3">
      <c r="A255" s="1"/>
      <c r="B255" s="1"/>
      <c r="C255" s="1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 x14ac:dyDescent="0.3">
      <c r="A256" s="1"/>
      <c r="B256" s="1"/>
      <c r="C256" s="1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 x14ac:dyDescent="0.3">
      <c r="A257" s="1"/>
      <c r="B257" s="1"/>
      <c r="C257" s="1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 x14ac:dyDescent="0.3">
      <c r="A258" s="1"/>
      <c r="B258" s="1"/>
      <c r="C258" s="1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 x14ac:dyDescent="0.3">
      <c r="A259" s="1"/>
      <c r="B259" s="1"/>
      <c r="C259" s="1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 x14ac:dyDescent="0.3">
      <c r="A260" s="1"/>
      <c r="B260" s="1"/>
      <c r="C260" s="1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 x14ac:dyDescent="0.3">
      <c r="A261" s="1"/>
      <c r="B261" s="1"/>
      <c r="C261" s="1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 x14ac:dyDescent="0.3">
      <c r="A262" s="1"/>
      <c r="B262" s="1"/>
      <c r="C262" s="1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 x14ac:dyDescent="0.3">
      <c r="A263" s="1"/>
      <c r="B263" s="1"/>
      <c r="C263" s="1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 x14ac:dyDescent="0.3">
      <c r="A264" s="1"/>
      <c r="B264" s="1"/>
      <c r="C264" s="1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 x14ac:dyDescent="0.3">
      <c r="A265" s="1"/>
      <c r="B265" s="1"/>
      <c r="C265" s="1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 x14ac:dyDescent="0.3">
      <c r="A266" s="1"/>
      <c r="B266" s="1"/>
      <c r="C266" s="1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 x14ac:dyDescent="0.3">
      <c r="A267" s="1"/>
      <c r="B267" s="1"/>
      <c r="C267" s="1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 x14ac:dyDescent="0.3">
      <c r="A268" s="1"/>
      <c r="B268" s="1"/>
      <c r="C268" s="1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 x14ac:dyDescent="0.3">
      <c r="A269" s="1"/>
      <c r="B269" s="1"/>
      <c r="C269" s="1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 x14ac:dyDescent="0.3">
      <c r="A270" s="1"/>
      <c r="B270" s="1"/>
      <c r="C270" s="1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 x14ac:dyDescent="0.3">
      <c r="A271" s="1"/>
      <c r="B271" s="1"/>
      <c r="C271" s="1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 x14ac:dyDescent="0.3">
      <c r="A272" s="1"/>
      <c r="B272" s="1"/>
      <c r="C272" s="1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 x14ac:dyDescent="0.3">
      <c r="A273" s="1"/>
      <c r="B273" s="1"/>
      <c r="C273" s="1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 x14ac:dyDescent="0.3">
      <c r="A274" s="1"/>
      <c r="B274" s="1"/>
      <c r="C274" s="1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 x14ac:dyDescent="0.3">
      <c r="A275" s="1"/>
      <c r="B275" s="1"/>
      <c r="C275" s="1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 x14ac:dyDescent="0.3">
      <c r="A276" s="1"/>
      <c r="B276" s="1"/>
      <c r="C276" s="1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 x14ac:dyDescent="0.3">
      <c r="A277" s="1"/>
      <c r="B277" s="1"/>
      <c r="C277" s="1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 x14ac:dyDescent="0.3">
      <c r="A278" s="1"/>
      <c r="B278" s="1"/>
      <c r="C278" s="1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 x14ac:dyDescent="0.3">
      <c r="A279" s="1"/>
      <c r="B279" s="1"/>
      <c r="C279" s="1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 x14ac:dyDescent="0.3">
      <c r="A280" s="1"/>
      <c r="B280" s="1"/>
      <c r="C280" s="1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 x14ac:dyDescent="0.3">
      <c r="A281" s="1"/>
      <c r="B281" s="1"/>
      <c r="C281" s="1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 x14ac:dyDescent="0.3">
      <c r="A282" s="1"/>
      <c r="B282" s="1"/>
      <c r="C282" s="1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 x14ac:dyDescent="0.3">
      <c r="A283" s="1"/>
      <c r="B283" s="1"/>
      <c r="C283" s="1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 x14ac:dyDescent="0.3">
      <c r="A284" s="1"/>
      <c r="B284" s="1"/>
      <c r="C284" s="1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 x14ac:dyDescent="0.3">
      <c r="A285" s="1"/>
      <c r="B285" s="1"/>
      <c r="C285" s="1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 x14ac:dyDescent="0.3">
      <c r="A286" s="1"/>
      <c r="B286" s="1"/>
      <c r="C286" s="1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 x14ac:dyDescent="0.3">
      <c r="A287" s="1"/>
      <c r="B287" s="1"/>
      <c r="C287" s="1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 x14ac:dyDescent="0.3">
      <c r="A288" s="1"/>
      <c r="B288" s="1"/>
      <c r="C288" s="1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 x14ac:dyDescent="0.3">
      <c r="A289" s="1"/>
      <c r="B289" s="1"/>
      <c r="C289" s="1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 x14ac:dyDescent="0.3">
      <c r="A290" s="1"/>
      <c r="B290" s="1"/>
      <c r="C290" s="1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 x14ac:dyDescent="0.3">
      <c r="A291" s="1"/>
      <c r="B291" s="1"/>
      <c r="C291" s="1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 x14ac:dyDescent="0.3">
      <c r="A292" s="1"/>
      <c r="B292" s="1"/>
      <c r="C292" s="1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 x14ac:dyDescent="0.3">
      <c r="A293" s="1"/>
      <c r="B293" s="1"/>
      <c r="C293" s="1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 x14ac:dyDescent="0.3">
      <c r="A294" s="1"/>
      <c r="B294" s="1"/>
      <c r="C294" s="1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 x14ac:dyDescent="0.3">
      <c r="A295" s="1"/>
      <c r="B295" s="1"/>
      <c r="C295" s="1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 x14ac:dyDescent="0.3">
      <c r="A296" s="1"/>
      <c r="B296" s="1"/>
      <c r="C296" s="1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 x14ac:dyDescent="0.3">
      <c r="A297" s="1"/>
      <c r="B297" s="1"/>
      <c r="C297" s="1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 x14ac:dyDescent="0.3">
      <c r="A298" s="1"/>
      <c r="B298" s="1"/>
      <c r="C298" s="1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 x14ac:dyDescent="0.3">
      <c r="A299" s="1"/>
      <c r="B299" s="1"/>
      <c r="C299" s="1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 x14ac:dyDescent="0.3">
      <c r="A300" s="1"/>
      <c r="B300" s="1"/>
      <c r="C300" s="1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 x14ac:dyDescent="0.3">
      <c r="A301" s="1"/>
      <c r="B301" s="1"/>
      <c r="C301" s="1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 x14ac:dyDescent="0.3">
      <c r="A302" s="1"/>
      <c r="B302" s="1"/>
      <c r="C302" s="1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 x14ac:dyDescent="0.3">
      <c r="A303" s="1"/>
      <c r="B303" s="1"/>
      <c r="C303" s="1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 x14ac:dyDescent="0.3">
      <c r="A304" s="1"/>
      <c r="B304" s="1"/>
      <c r="C304" s="1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 x14ac:dyDescent="0.3">
      <c r="A305" s="1"/>
      <c r="B305" s="1"/>
      <c r="C305" s="1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 x14ac:dyDescent="0.3">
      <c r="A306" s="1"/>
      <c r="B306" s="1"/>
      <c r="C306" s="1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 x14ac:dyDescent="0.3">
      <c r="A307" s="1"/>
      <c r="B307" s="1"/>
      <c r="C307" s="1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 x14ac:dyDescent="0.3">
      <c r="A308" s="1"/>
      <c r="B308" s="1"/>
      <c r="C308" s="1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 x14ac:dyDescent="0.3">
      <c r="A309" s="1"/>
      <c r="B309" s="1"/>
      <c r="C309" s="1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 x14ac:dyDescent="0.3">
      <c r="A310" s="1"/>
      <c r="B310" s="1"/>
      <c r="C310" s="1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 x14ac:dyDescent="0.3">
      <c r="A311" s="1"/>
      <c r="B311" s="1"/>
      <c r="C311" s="1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 x14ac:dyDescent="0.3">
      <c r="A312" s="1"/>
      <c r="B312" s="1"/>
      <c r="C312" s="1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 x14ac:dyDescent="0.3">
      <c r="A313" s="1"/>
      <c r="B313" s="1"/>
      <c r="C313" s="1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 x14ac:dyDescent="0.3">
      <c r="A314" s="1"/>
      <c r="B314" s="1"/>
      <c r="C314" s="1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 x14ac:dyDescent="0.3">
      <c r="A315" s="1"/>
      <c r="B315" s="1"/>
      <c r="C315" s="1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 x14ac:dyDescent="0.3">
      <c r="A316" s="1"/>
      <c r="B316" s="1"/>
      <c r="C316" s="1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 x14ac:dyDescent="0.3">
      <c r="A317" s="1"/>
      <c r="B317" s="1"/>
      <c r="C317" s="1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 x14ac:dyDescent="0.3">
      <c r="A318" s="1"/>
      <c r="B318" s="1"/>
      <c r="C318" s="1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 x14ac:dyDescent="0.3">
      <c r="A319" s="1"/>
      <c r="B319" s="1"/>
      <c r="C319" s="1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 x14ac:dyDescent="0.3">
      <c r="A320" s="1"/>
      <c r="B320" s="1"/>
      <c r="C320" s="1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 x14ac:dyDescent="0.3">
      <c r="A321" s="1"/>
      <c r="B321" s="1"/>
      <c r="C321" s="1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 x14ac:dyDescent="0.3">
      <c r="A322" s="1"/>
      <c r="B322" s="1"/>
      <c r="C322" s="1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 x14ac:dyDescent="0.3">
      <c r="A323" s="1"/>
      <c r="B323" s="1"/>
      <c r="C323" s="1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 x14ac:dyDescent="0.3">
      <c r="A324" s="1"/>
      <c r="B324" s="1"/>
      <c r="C324" s="1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 x14ac:dyDescent="0.3">
      <c r="A325" s="1"/>
      <c r="B325" s="1"/>
      <c r="C325" s="1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 x14ac:dyDescent="0.3">
      <c r="A326" s="1"/>
      <c r="B326" s="1"/>
      <c r="C326" s="1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 x14ac:dyDescent="0.3">
      <c r="A327" s="1"/>
      <c r="B327" s="1"/>
      <c r="C327" s="1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 x14ac:dyDescent="0.3">
      <c r="A328" s="1"/>
      <c r="B328" s="1"/>
      <c r="C328" s="1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 x14ac:dyDescent="0.3">
      <c r="A329" s="1"/>
      <c r="B329" s="1"/>
      <c r="C329" s="1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 x14ac:dyDescent="0.3">
      <c r="A330" s="1"/>
      <c r="B330" s="1"/>
      <c r="C330" s="1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 x14ac:dyDescent="0.3">
      <c r="A331" s="1"/>
      <c r="B331" s="1"/>
      <c r="C331" s="1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 x14ac:dyDescent="0.3">
      <c r="A332" s="1"/>
      <c r="B332" s="1"/>
      <c r="C332" s="1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 x14ac:dyDescent="0.3">
      <c r="A333" s="1"/>
      <c r="B333" s="1"/>
      <c r="C333" s="1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 x14ac:dyDescent="0.3">
      <c r="A334" s="1"/>
      <c r="B334" s="1"/>
      <c r="C334" s="1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 x14ac:dyDescent="0.3">
      <c r="A335" s="1"/>
      <c r="B335" s="1"/>
      <c r="C335" s="1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 x14ac:dyDescent="0.3">
      <c r="A336" s="1"/>
      <c r="B336" s="1"/>
      <c r="C336" s="1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 x14ac:dyDescent="0.3">
      <c r="A337" s="1"/>
      <c r="B337" s="1"/>
      <c r="C337" s="1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 x14ac:dyDescent="0.3">
      <c r="A338" s="1"/>
      <c r="B338" s="1"/>
      <c r="C338" s="1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 x14ac:dyDescent="0.3">
      <c r="A339" s="1"/>
      <c r="B339" s="1"/>
      <c r="C339" s="1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 x14ac:dyDescent="0.3">
      <c r="A340" s="1"/>
      <c r="B340" s="1"/>
      <c r="C340" s="1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 x14ac:dyDescent="0.3">
      <c r="A341" s="1"/>
      <c r="B341" s="1"/>
      <c r="C341" s="1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 x14ac:dyDescent="0.3">
      <c r="A342" s="1"/>
      <c r="B342" s="1"/>
      <c r="C342" s="1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 x14ac:dyDescent="0.3">
      <c r="A343" s="1"/>
      <c r="B343" s="1"/>
      <c r="C343" s="1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 x14ac:dyDescent="0.3">
      <c r="A344" s="1"/>
      <c r="B344" s="1"/>
      <c r="C344" s="1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 x14ac:dyDescent="0.3">
      <c r="A345" s="1"/>
      <c r="B345" s="1"/>
      <c r="C345" s="1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 x14ac:dyDescent="0.3">
      <c r="A346" s="1"/>
      <c r="B346" s="1"/>
      <c r="C346" s="1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 x14ac:dyDescent="0.3">
      <c r="A347" s="1"/>
      <c r="B347" s="1"/>
      <c r="C347" s="1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 x14ac:dyDescent="0.3">
      <c r="A348" s="1"/>
      <c r="B348" s="1"/>
      <c r="C348" s="1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 x14ac:dyDescent="0.3">
      <c r="A349" s="1"/>
      <c r="B349" s="1"/>
      <c r="C349" s="1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 x14ac:dyDescent="0.3">
      <c r="A350" s="1"/>
      <c r="B350" s="1"/>
      <c r="C350" s="1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 x14ac:dyDescent="0.3">
      <c r="A351" s="1"/>
      <c r="B351" s="1"/>
      <c r="C351" s="1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 x14ac:dyDescent="0.3">
      <c r="A352" s="1"/>
      <c r="B352" s="1"/>
      <c r="C352" s="1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 x14ac:dyDescent="0.3">
      <c r="A353" s="1"/>
      <c r="B353" s="1"/>
      <c r="C353" s="1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 x14ac:dyDescent="0.3">
      <c r="A354" s="1"/>
      <c r="B354" s="1"/>
      <c r="C354" s="1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 x14ac:dyDescent="0.3">
      <c r="A355" s="1"/>
      <c r="B355" s="1"/>
      <c r="C355" s="1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 x14ac:dyDescent="0.3">
      <c r="A356" s="1"/>
      <c r="B356" s="1"/>
      <c r="C356" s="1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 x14ac:dyDescent="0.3">
      <c r="A357" s="1"/>
      <c r="B357" s="1"/>
      <c r="C357" s="1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 x14ac:dyDescent="0.3">
      <c r="A358" s="1"/>
      <c r="B358" s="1"/>
      <c r="C358" s="1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 x14ac:dyDescent="0.3">
      <c r="A359" s="1"/>
      <c r="B359" s="1"/>
      <c r="C359" s="1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 x14ac:dyDescent="0.3">
      <c r="A360" s="1"/>
      <c r="B360" s="1"/>
      <c r="C360" s="1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 x14ac:dyDescent="0.3">
      <c r="A361" s="1"/>
      <c r="B361" s="1"/>
      <c r="C361" s="1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 x14ac:dyDescent="0.3">
      <c r="A362" s="1"/>
      <c r="B362" s="1"/>
      <c r="C362" s="1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 x14ac:dyDescent="0.3">
      <c r="A363" s="1"/>
      <c r="B363" s="1"/>
      <c r="C363" s="1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 x14ac:dyDescent="0.3">
      <c r="A364" s="1"/>
      <c r="B364" s="1"/>
      <c r="C364" s="1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 x14ac:dyDescent="0.3">
      <c r="A365" s="1"/>
      <c r="B365" s="1"/>
      <c r="C365" s="1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 x14ac:dyDescent="0.3">
      <c r="A366" s="1"/>
      <c r="B366" s="1"/>
      <c r="C366" s="1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 x14ac:dyDescent="0.3">
      <c r="A367" s="1"/>
      <c r="B367" s="1"/>
      <c r="C367" s="1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 x14ac:dyDescent="0.3">
      <c r="A368" s="1"/>
      <c r="B368" s="1"/>
      <c r="C368" s="1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 x14ac:dyDescent="0.3">
      <c r="A369" s="1"/>
      <c r="B369" s="1"/>
      <c r="C369" s="1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 x14ac:dyDescent="0.3">
      <c r="A370" s="1"/>
      <c r="B370" s="1"/>
      <c r="C370" s="1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 x14ac:dyDescent="0.3">
      <c r="A371" s="1"/>
      <c r="B371" s="1"/>
      <c r="C371" s="1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 x14ac:dyDescent="0.3">
      <c r="A372" s="1"/>
      <c r="B372" s="1"/>
      <c r="C372" s="1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 x14ac:dyDescent="0.3">
      <c r="A373" s="1"/>
      <c r="B373" s="1"/>
      <c r="C373" s="1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 x14ac:dyDescent="0.3">
      <c r="A374" s="1"/>
      <c r="B374" s="1"/>
      <c r="C374" s="1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 x14ac:dyDescent="0.3">
      <c r="A375" s="1"/>
      <c r="B375" s="1"/>
      <c r="C375" s="1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 x14ac:dyDescent="0.3">
      <c r="A376" s="1"/>
      <c r="B376" s="1"/>
      <c r="C376" s="1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 x14ac:dyDescent="0.3">
      <c r="A377" s="1"/>
      <c r="B377" s="1"/>
      <c r="C377" s="1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 x14ac:dyDescent="0.3">
      <c r="A378" s="1"/>
      <c r="B378" s="1"/>
      <c r="C378" s="1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 x14ac:dyDescent="0.3">
      <c r="A379" s="1"/>
      <c r="B379" s="1"/>
      <c r="C379" s="1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 x14ac:dyDescent="0.3">
      <c r="A380" s="1"/>
      <c r="B380" s="1"/>
      <c r="C380" s="1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 x14ac:dyDescent="0.3">
      <c r="A381" s="1"/>
      <c r="B381" s="1"/>
      <c r="C381" s="1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 x14ac:dyDescent="0.3">
      <c r="A382" s="1"/>
      <c r="B382" s="1"/>
      <c r="C382" s="1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 x14ac:dyDescent="0.3">
      <c r="A383" s="1"/>
      <c r="B383" s="1"/>
      <c r="C383" s="1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 x14ac:dyDescent="0.3">
      <c r="A384" s="1"/>
      <c r="B384" s="1"/>
      <c r="C384" s="1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 x14ac:dyDescent="0.3">
      <c r="A385" s="1"/>
      <c r="B385" s="1"/>
      <c r="C385" s="1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 x14ac:dyDescent="0.3">
      <c r="A386" s="1"/>
      <c r="B386" s="1"/>
      <c r="C386" s="1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 x14ac:dyDescent="0.3">
      <c r="A387" s="1"/>
      <c r="B387" s="1"/>
      <c r="C387" s="1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 x14ac:dyDescent="0.3">
      <c r="A388" s="1"/>
      <c r="B388" s="1"/>
      <c r="C388" s="1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 x14ac:dyDescent="0.3">
      <c r="A389" s="1"/>
      <c r="B389" s="1"/>
      <c r="C389" s="1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 x14ac:dyDescent="0.3">
      <c r="A390" s="1"/>
      <c r="B390" s="1"/>
      <c r="C390" s="1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 x14ac:dyDescent="0.3">
      <c r="A391" s="1"/>
      <c r="B391" s="1"/>
      <c r="C391" s="1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 x14ac:dyDescent="0.3">
      <c r="A392" s="1"/>
      <c r="B392" s="1"/>
      <c r="C392" s="1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 x14ac:dyDescent="0.3">
      <c r="A393" s="1"/>
      <c r="B393" s="1"/>
      <c r="C393" s="1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 x14ac:dyDescent="0.3">
      <c r="A394" s="1"/>
      <c r="B394" s="1"/>
      <c r="C394" s="1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 x14ac:dyDescent="0.3">
      <c r="A395" s="1"/>
      <c r="B395" s="1"/>
      <c r="C395" s="1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 x14ac:dyDescent="0.3">
      <c r="A396" s="1"/>
      <c r="B396" s="1"/>
      <c r="C396" s="1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 x14ac:dyDescent="0.3">
      <c r="A397" s="1"/>
      <c r="B397" s="1"/>
      <c r="C397" s="1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 x14ac:dyDescent="0.3">
      <c r="A398" s="1"/>
      <c r="B398" s="1"/>
      <c r="C398" s="1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 x14ac:dyDescent="0.3">
      <c r="A399" s="1"/>
      <c r="B399" s="1"/>
      <c r="C399" s="1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 x14ac:dyDescent="0.3">
      <c r="A400" s="1"/>
      <c r="B400" s="1"/>
      <c r="C400" s="1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 x14ac:dyDescent="0.3">
      <c r="A401" s="1"/>
      <c r="B401" s="1"/>
      <c r="C401" s="1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 x14ac:dyDescent="0.3">
      <c r="A402" s="1"/>
      <c r="B402" s="1"/>
      <c r="C402" s="1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 x14ac:dyDescent="0.3">
      <c r="A403" s="1"/>
      <c r="B403" s="1"/>
      <c r="C403" s="1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 x14ac:dyDescent="0.3">
      <c r="A404" s="1"/>
      <c r="B404" s="1"/>
      <c r="C404" s="1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 x14ac:dyDescent="0.3">
      <c r="A405" s="1"/>
      <c r="B405" s="1"/>
      <c r="C405" s="1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 x14ac:dyDescent="0.3">
      <c r="A406" s="1"/>
      <c r="B406" s="1"/>
      <c r="C406" s="1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 x14ac:dyDescent="0.3">
      <c r="A407" s="1"/>
      <c r="B407" s="1"/>
      <c r="C407" s="1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 x14ac:dyDescent="0.3">
      <c r="A408" s="1"/>
      <c r="B408" s="1"/>
      <c r="C408" s="1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 x14ac:dyDescent="0.3">
      <c r="A409" s="1"/>
      <c r="B409" s="1"/>
      <c r="C409" s="1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 x14ac:dyDescent="0.3">
      <c r="A410" s="1"/>
      <c r="B410" s="1"/>
      <c r="C410" s="1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 x14ac:dyDescent="0.3">
      <c r="A411" s="1"/>
      <c r="B411" s="1"/>
      <c r="C411" s="1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 x14ac:dyDescent="0.3">
      <c r="A412" s="1"/>
      <c r="B412" s="1"/>
      <c r="C412" s="1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 x14ac:dyDescent="0.3">
      <c r="A413" s="1"/>
      <c r="B413" s="1"/>
      <c r="C413" s="1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 x14ac:dyDescent="0.3">
      <c r="A414" s="1"/>
      <c r="B414" s="1"/>
      <c r="C414" s="1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 x14ac:dyDescent="0.3">
      <c r="A415" s="1"/>
      <c r="B415" s="1"/>
      <c r="C415" s="1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 x14ac:dyDescent="0.3">
      <c r="A416" s="1"/>
      <c r="B416" s="1"/>
      <c r="C416" s="1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 x14ac:dyDescent="0.3">
      <c r="A417" s="1"/>
      <c r="B417" s="1"/>
      <c r="C417" s="1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 x14ac:dyDescent="0.3">
      <c r="A418" s="1"/>
      <c r="B418" s="1"/>
      <c r="C418" s="1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 x14ac:dyDescent="0.3">
      <c r="A419" s="1"/>
      <c r="B419" s="1"/>
      <c r="C419" s="1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 x14ac:dyDescent="0.3">
      <c r="A420" s="1"/>
      <c r="B420" s="1"/>
      <c r="C420" s="1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 x14ac:dyDescent="0.3">
      <c r="A421" s="1"/>
      <c r="B421" s="1"/>
      <c r="C421" s="1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 x14ac:dyDescent="0.3">
      <c r="A422" s="1"/>
      <c r="B422" s="1"/>
      <c r="C422" s="1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 x14ac:dyDescent="0.3">
      <c r="A423" s="1"/>
      <c r="B423" s="1"/>
      <c r="C423" s="1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 x14ac:dyDescent="0.3">
      <c r="A424" s="1"/>
      <c r="B424" s="1"/>
      <c r="C424" s="1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 x14ac:dyDescent="0.3">
      <c r="A425" s="1"/>
      <c r="B425" s="1"/>
      <c r="C425" s="1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 x14ac:dyDescent="0.3">
      <c r="A426" s="1"/>
      <c r="B426" s="1"/>
      <c r="C426" s="1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 x14ac:dyDescent="0.3">
      <c r="A427" s="1"/>
      <c r="B427" s="1"/>
      <c r="C427" s="1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 x14ac:dyDescent="0.3">
      <c r="A428" s="1"/>
      <c r="B428" s="1"/>
      <c r="C428" s="1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 x14ac:dyDescent="0.3">
      <c r="A429" s="1"/>
      <c r="B429" s="1"/>
      <c r="C429" s="1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 x14ac:dyDescent="0.3">
      <c r="A430" s="1"/>
      <c r="B430" s="1"/>
      <c r="C430" s="1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 x14ac:dyDescent="0.3">
      <c r="A431" s="1"/>
      <c r="B431" s="1"/>
      <c r="C431" s="1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 x14ac:dyDescent="0.3">
      <c r="A432" s="1"/>
      <c r="B432" s="1"/>
      <c r="C432" s="1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 x14ac:dyDescent="0.3">
      <c r="A433" s="1"/>
      <c r="B433" s="1"/>
      <c r="C433" s="1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 x14ac:dyDescent="0.3">
      <c r="A434" s="1"/>
      <c r="B434" s="1"/>
      <c r="C434" s="1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 x14ac:dyDescent="0.3">
      <c r="A435" s="1"/>
      <c r="B435" s="1"/>
      <c r="C435" s="1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 x14ac:dyDescent="0.3">
      <c r="A436" s="1"/>
      <c r="B436" s="1"/>
      <c r="C436" s="1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 x14ac:dyDescent="0.3">
      <c r="A437" s="1"/>
      <c r="B437" s="1"/>
      <c r="C437" s="1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 x14ac:dyDescent="0.3">
      <c r="A438" s="1"/>
      <c r="B438" s="1"/>
      <c r="C438" s="1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 x14ac:dyDescent="0.3">
      <c r="A439" s="1"/>
      <c r="B439" s="1"/>
      <c r="C439" s="1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 x14ac:dyDescent="0.3">
      <c r="A440" s="1"/>
      <c r="B440" s="1"/>
      <c r="C440" s="1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 x14ac:dyDescent="0.3">
      <c r="A441" s="1"/>
      <c r="B441" s="1"/>
      <c r="C441" s="1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 x14ac:dyDescent="0.3">
      <c r="A442" s="1"/>
      <c r="B442" s="1"/>
      <c r="C442" s="1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 x14ac:dyDescent="0.3">
      <c r="A443" s="1"/>
      <c r="B443" s="1"/>
      <c r="C443" s="1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 x14ac:dyDescent="0.3">
      <c r="A444" s="1"/>
      <c r="B444" s="1"/>
      <c r="C444" s="1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 x14ac:dyDescent="0.3">
      <c r="A445" s="1"/>
      <c r="B445" s="1"/>
      <c r="C445" s="1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 x14ac:dyDescent="0.3">
      <c r="A446" s="1"/>
      <c r="B446" s="1"/>
      <c r="C446" s="1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 x14ac:dyDescent="0.3">
      <c r="A447" s="1"/>
      <c r="B447" s="1"/>
      <c r="C447" s="1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 x14ac:dyDescent="0.3">
      <c r="A448" s="1"/>
      <c r="B448" s="1"/>
      <c r="C448" s="1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 x14ac:dyDescent="0.3">
      <c r="A449" s="1"/>
      <c r="B449" s="1"/>
      <c r="C449" s="1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 x14ac:dyDescent="0.3">
      <c r="A450" s="1"/>
      <c r="B450" s="1"/>
      <c r="C450" s="1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 x14ac:dyDescent="0.3">
      <c r="A451" s="1"/>
      <c r="B451" s="1"/>
      <c r="C451" s="1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 x14ac:dyDescent="0.3">
      <c r="A452" s="1"/>
      <c r="B452" s="1"/>
      <c r="C452" s="1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 x14ac:dyDescent="0.3">
      <c r="A453" s="1"/>
      <c r="B453" s="1"/>
      <c r="C453" s="1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 x14ac:dyDescent="0.3">
      <c r="A454" s="1"/>
      <c r="B454" s="1"/>
      <c r="C454" s="1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 x14ac:dyDescent="0.3">
      <c r="A455" s="1"/>
      <c r="B455" s="1"/>
      <c r="C455" s="1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 x14ac:dyDescent="0.3">
      <c r="A456" s="1"/>
      <c r="B456" s="1"/>
      <c r="C456" s="1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 x14ac:dyDescent="0.3">
      <c r="A457" s="1"/>
      <c r="B457" s="1"/>
      <c r="C457" s="1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 x14ac:dyDescent="0.3">
      <c r="A458" s="1"/>
      <c r="B458" s="1"/>
      <c r="C458" s="1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 x14ac:dyDescent="0.3">
      <c r="A459" s="1"/>
      <c r="B459" s="1"/>
      <c r="C459" s="1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 x14ac:dyDescent="0.3">
      <c r="A460" s="1"/>
      <c r="B460" s="1"/>
      <c r="C460" s="1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 x14ac:dyDescent="0.3">
      <c r="A461" s="1"/>
      <c r="B461" s="1"/>
      <c r="C461" s="1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 x14ac:dyDescent="0.3">
      <c r="A462" s="1"/>
      <c r="B462" s="1"/>
      <c r="C462" s="1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 x14ac:dyDescent="0.3">
      <c r="A463" s="1"/>
      <c r="B463" s="1"/>
      <c r="C463" s="1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 x14ac:dyDescent="0.3">
      <c r="A464" s="1"/>
      <c r="B464" s="1"/>
      <c r="C464" s="1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 x14ac:dyDescent="0.3">
      <c r="A465" s="1"/>
      <c r="B465" s="1"/>
      <c r="C465" s="1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 x14ac:dyDescent="0.3">
      <c r="A466" s="1"/>
      <c r="B466" s="1"/>
      <c r="C466" s="1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 x14ac:dyDescent="0.3">
      <c r="A467" s="1"/>
      <c r="B467" s="1"/>
      <c r="C467" s="1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 x14ac:dyDescent="0.3">
      <c r="A468" s="1"/>
      <c r="B468" s="1"/>
      <c r="C468" s="1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 x14ac:dyDescent="0.3">
      <c r="A469" s="1"/>
      <c r="B469" s="1"/>
      <c r="C469" s="1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 x14ac:dyDescent="0.3">
      <c r="A470" s="1"/>
      <c r="B470" s="1"/>
      <c r="C470" s="1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 x14ac:dyDescent="0.3">
      <c r="A471" s="1"/>
      <c r="B471" s="1"/>
      <c r="C471" s="1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 x14ac:dyDescent="0.3">
      <c r="A472" s="1"/>
      <c r="B472" s="1"/>
      <c r="C472" s="1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 x14ac:dyDescent="0.3">
      <c r="A473" s="1"/>
      <c r="B473" s="1"/>
      <c r="C473" s="1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 x14ac:dyDescent="0.3">
      <c r="A474" s="1"/>
      <c r="B474" s="1"/>
      <c r="C474" s="1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 x14ac:dyDescent="0.3">
      <c r="A475" s="1"/>
      <c r="B475" s="1"/>
      <c r="C475" s="1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 x14ac:dyDescent="0.3">
      <c r="A476" s="1"/>
      <c r="B476" s="1"/>
      <c r="C476" s="1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 x14ac:dyDescent="0.3">
      <c r="A477" s="1"/>
      <c r="B477" s="1"/>
      <c r="C477" s="1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 x14ac:dyDescent="0.3">
      <c r="A478" s="1"/>
      <c r="B478" s="1"/>
      <c r="C478" s="1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 x14ac:dyDescent="0.3">
      <c r="A479" s="1"/>
      <c r="B479" s="1"/>
      <c r="C479" s="1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 x14ac:dyDescent="0.3">
      <c r="A480" s="1"/>
      <c r="B480" s="1"/>
      <c r="C480" s="1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 x14ac:dyDescent="0.3">
      <c r="A481" s="1"/>
      <c r="B481" s="1"/>
      <c r="C481" s="1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 x14ac:dyDescent="0.3">
      <c r="A482" s="1"/>
      <c r="B482" s="1"/>
      <c r="C482" s="1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 x14ac:dyDescent="0.3">
      <c r="A483" s="1"/>
      <c r="B483" s="1"/>
      <c r="C483" s="1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 x14ac:dyDescent="0.3">
      <c r="A484" s="1"/>
      <c r="B484" s="1"/>
      <c r="C484" s="1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 x14ac:dyDescent="0.3">
      <c r="A485" s="1"/>
      <c r="B485" s="1"/>
      <c r="C485" s="1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 x14ac:dyDescent="0.3">
      <c r="A486" s="1"/>
      <c r="B486" s="1"/>
      <c r="C486" s="1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 x14ac:dyDescent="0.3">
      <c r="A487" s="1"/>
      <c r="B487" s="1"/>
      <c r="C487" s="1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 x14ac:dyDescent="0.3">
      <c r="A488" s="1"/>
      <c r="B488" s="1"/>
      <c r="C488" s="1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 x14ac:dyDescent="0.3">
      <c r="A489" s="1"/>
      <c r="B489" s="1"/>
      <c r="C489" s="1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 x14ac:dyDescent="0.3">
      <c r="A490" s="1"/>
      <c r="B490" s="1"/>
      <c r="C490" s="1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 x14ac:dyDescent="0.3">
      <c r="A491" s="1"/>
      <c r="B491" s="1"/>
      <c r="C491" s="1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 x14ac:dyDescent="0.3">
      <c r="A492" s="1"/>
      <c r="B492" s="1"/>
      <c r="C492" s="1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 x14ac:dyDescent="0.3">
      <c r="A493" s="1"/>
      <c r="B493" s="1"/>
      <c r="C493" s="1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 x14ac:dyDescent="0.3">
      <c r="A494" s="1"/>
      <c r="B494" s="1"/>
      <c r="C494" s="1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 x14ac:dyDescent="0.3">
      <c r="A495" s="1"/>
      <c r="B495" s="1"/>
      <c r="C495" s="1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 x14ac:dyDescent="0.3">
      <c r="A496" s="1"/>
      <c r="B496" s="1"/>
      <c r="C496" s="1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 x14ac:dyDescent="0.3">
      <c r="A497" s="1"/>
      <c r="B497" s="1"/>
      <c r="C497" s="1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 x14ac:dyDescent="0.3">
      <c r="A498" s="1"/>
      <c r="B498" s="1"/>
      <c r="C498" s="1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 x14ac:dyDescent="0.3">
      <c r="A499" s="1"/>
      <c r="B499" s="1"/>
      <c r="C499" s="1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 x14ac:dyDescent="0.3">
      <c r="A500" s="1"/>
      <c r="B500" s="1"/>
      <c r="C500" s="1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 x14ac:dyDescent="0.3">
      <c r="A501" s="1"/>
      <c r="B501" s="1"/>
      <c r="C501" s="1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 x14ac:dyDescent="0.3">
      <c r="A502" s="1"/>
      <c r="B502" s="1"/>
      <c r="C502" s="1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 x14ac:dyDescent="0.3">
      <c r="A503" s="1"/>
      <c r="B503" s="1"/>
      <c r="C503" s="1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 x14ac:dyDescent="0.3">
      <c r="A504" s="1"/>
      <c r="B504" s="1"/>
      <c r="C504" s="1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 x14ac:dyDescent="0.3">
      <c r="A505" s="1"/>
      <c r="B505" s="1"/>
      <c r="C505" s="1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 x14ac:dyDescent="0.3">
      <c r="A506" s="1"/>
      <c r="B506" s="1"/>
      <c r="C506" s="1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 x14ac:dyDescent="0.3">
      <c r="A507" s="1"/>
      <c r="B507" s="1"/>
      <c r="C507" s="1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 x14ac:dyDescent="0.3">
      <c r="A508" s="1"/>
      <c r="B508" s="1"/>
      <c r="C508" s="1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 x14ac:dyDescent="0.3">
      <c r="A509" s="1"/>
      <c r="B509" s="1"/>
      <c r="C509" s="1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 x14ac:dyDescent="0.3">
      <c r="A510" s="1"/>
      <c r="B510" s="1"/>
      <c r="C510" s="1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 x14ac:dyDescent="0.3">
      <c r="A511" s="1"/>
      <c r="B511" s="1"/>
      <c r="C511" s="1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 x14ac:dyDescent="0.3">
      <c r="A512" s="1"/>
      <c r="B512" s="1"/>
      <c r="C512" s="1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 x14ac:dyDescent="0.3">
      <c r="A513" s="1"/>
      <c r="B513" s="1"/>
      <c r="C513" s="1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 x14ac:dyDescent="0.3">
      <c r="A514" s="1"/>
      <c r="B514" s="1"/>
      <c r="C514" s="1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 x14ac:dyDescent="0.3">
      <c r="A515" s="1"/>
      <c r="B515" s="1"/>
      <c r="C515" s="1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 x14ac:dyDescent="0.3">
      <c r="A516" s="1"/>
      <c r="B516" s="1"/>
      <c r="C516" s="1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 x14ac:dyDescent="0.3">
      <c r="A517" s="1"/>
      <c r="B517" s="1"/>
      <c r="C517" s="1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 x14ac:dyDescent="0.3">
      <c r="A518" s="1"/>
      <c r="B518" s="1"/>
      <c r="C518" s="1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 x14ac:dyDescent="0.3">
      <c r="A519" s="1"/>
      <c r="B519" s="1"/>
      <c r="C519" s="1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 x14ac:dyDescent="0.3">
      <c r="A520" s="1"/>
      <c r="B520" s="1"/>
      <c r="C520" s="1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 x14ac:dyDescent="0.3">
      <c r="A521" s="1"/>
      <c r="B521" s="1"/>
      <c r="C521" s="1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 x14ac:dyDescent="0.3">
      <c r="A522" s="1"/>
      <c r="B522" s="1"/>
      <c r="C522" s="1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 x14ac:dyDescent="0.3">
      <c r="A523" s="1"/>
      <c r="B523" s="1"/>
      <c r="C523" s="1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 x14ac:dyDescent="0.3">
      <c r="A524" s="1"/>
      <c r="B524" s="1"/>
      <c r="C524" s="1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 x14ac:dyDescent="0.3">
      <c r="A525" s="1"/>
      <c r="B525" s="1"/>
      <c r="C525" s="1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 x14ac:dyDescent="0.3">
      <c r="A526" s="1"/>
      <c r="B526" s="1"/>
      <c r="C526" s="1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 x14ac:dyDescent="0.3">
      <c r="A527" s="1"/>
      <c r="B527" s="1"/>
      <c r="C527" s="1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 x14ac:dyDescent="0.3">
      <c r="A528" s="1"/>
      <c r="B528" s="1"/>
      <c r="C528" s="1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 x14ac:dyDescent="0.3">
      <c r="A529" s="1"/>
      <c r="B529" s="1"/>
      <c r="C529" s="1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 x14ac:dyDescent="0.3">
      <c r="A530" s="1"/>
      <c r="B530" s="1"/>
      <c r="C530" s="1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 x14ac:dyDescent="0.3">
      <c r="A531" s="1"/>
      <c r="B531" s="1"/>
      <c r="C531" s="1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 x14ac:dyDescent="0.3">
      <c r="A532" s="1"/>
      <c r="B532" s="1"/>
      <c r="C532" s="1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 x14ac:dyDescent="0.3">
      <c r="A533" s="1"/>
      <c r="B533" s="1"/>
      <c r="C533" s="1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 x14ac:dyDescent="0.3">
      <c r="A534" s="1"/>
      <c r="B534" s="1"/>
      <c r="C534" s="1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 x14ac:dyDescent="0.3">
      <c r="A535" s="1"/>
      <c r="B535" s="1"/>
      <c r="C535" s="1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 x14ac:dyDescent="0.3">
      <c r="A536" s="1"/>
      <c r="B536" s="1"/>
      <c r="C536" s="1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 x14ac:dyDescent="0.3">
      <c r="A537" s="1"/>
      <c r="B537" s="1"/>
      <c r="C537" s="1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 x14ac:dyDescent="0.3">
      <c r="A538" s="1"/>
      <c r="B538" s="1"/>
      <c r="C538" s="1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 x14ac:dyDescent="0.3">
      <c r="A539" s="1"/>
      <c r="B539" s="1"/>
      <c r="C539" s="1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 x14ac:dyDescent="0.3">
      <c r="A540" s="1"/>
      <c r="B540" s="1"/>
      <c r="C540" s="1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 x14ac:dyDescent="0.3">
      <c r="A541" s="1"/>
      <c r="B541" s="1"/>
      <c r="C541" s="1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 x14ac:dyDescent="0.3">
      <c r="A542" s="1"/>
      <c r="B542" s="1"/>
      <c r="C542" s="1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 x14ac:dyDescent="0.3">
      <c r="A543" s="1"/>
      <c r="B543" s="1"/>
      <c r="C543" s="1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 x14ac:dyDescent="0.3">
      <c r="A544" s="1"/>
      <c r="B544" s="1"/>
      <c r="C544" s="1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 x14ac:dyDescent="0.3">
      <c r="A545" s="1"/>
      <c r="B545" s="1"/>
      <c r="C545" s="1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 x14ac:dyDescent="0.3">
      <c r="A546" s="1"/>
      <c r="B546" s="1"/>
      <c r="C546" s="1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 x14ac:dyDescent="0.3">
      <c r="A547" s="1"/>
      <c r="B547" s="1"/>
      <c r="C547" s="1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 x14ac:dyDescent="0.3">
      <c r="A548" s="1"/>
      <c r="B548" s="1"/>
      <c r="C548" s="1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 x14ac:dyDescent="0.3">
      <c r="A549" s="1"/>
      <c r="B549" s="1"/>
      <c r="C549" s="1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 x14ac:dyDescent="0.3">
      <c r="A550" s="1"/>
      <c r="B550" s="1"/>
      <c r="C550" s="1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 x14ac:dyDescent="0.3">
      <c r="A551" s="1"/>
      <c r="B551" s="1"/>
      <c r="C551" s="1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 x14ac:dyDescent="0.3">
      <c r="A552" s="1"/>
      <c r="B552" s="1"/>
      <c r="C552" s="1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 x14ac:dyDescent="0.3">
      <c r="A553" s="1"/>
      <c r="B553" s="1"/>
      <c r="C553" s="1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 x14ac:dyDescent="0.3">
      <c r="A554" s="1"/>
      <c r="B554" s="1"/>
      <c r="C554" s="1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 x14ac:dyDescent="0.3">
      <c r="A555" s="1"/>
      <c r="B555" s="1"/>
      <c r="C555" s="1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 x14ac:dyDescent="0.3">
      <c r="A556" s="1"/>
      <c r="B556" s="1"/>
      <c r="C556" s="1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 x14ac:dyDescent="0.3">
      <c r="A557" s="1"/>
      <c r="B557" s="1"/>
      <c r="C557" s="1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 x14ac:dyDescent="0.3">
      <c r="A558" s="1"/>
      <c r="B558" s="1"/>
      <c r="C558" s="1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 x14ac:dyDescent="0.3">
      <c r="A559" s="1"/>
      <c r="B559" s="1"/>
      <c r="C559" s="1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 x14ac:dyDescent="0.3">
      <c r="A560" s="1"/>
      <c r="B560" s="1"/>
      <c r="C560" s="1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 x14ac:dyDescent="0.3">
      <c r="A561" s="1"/>
      <c r="B561" s="1"/>
      <c r="C561" s="1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 x14ac:dyDescent="0.3">
      <c r="A562" s="1"/>
      <c r="B562" s="1"/>
      <c r="C562" s="1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 x14ac:dyDescent="0.3">
      <c r="A563" s="1"/>
      <c r="B563" s="1"/>
      <c r="C563" s="1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 x14ac:dyDescent="0.3">
      <c r="A564" s="1"/>
      <c r="B564" s="1"/>
      <c r="C564" s="1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 x14ac:dyDescent="0.3">
      <c r="A565" s="1"/>
      <c r="B565" s="1"/>
      <c r="C565" s="1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 x14ac:dyDescent="0.3">
      <c r="A566" s="1"/>
      <c r="B566" s="1"/>
      <c r="C566" s="1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 x14ac:dyDescent="0.3">
      <c r="A567" s="1"/>
      <c r="B567" s="1"/>
      <c r="C567" s="1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 x14ac:dyDescent="0.3">
      <c r="A568" s="1"/>
      <c r="B568" s="1"/>
      <c r="C568" s="1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 x14ac:dyDescent="0.3">
      <c r="A569" s="1"/>
      <c r="B569" s="1"/>
      <c r="C569" s="1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 x14ac:dyDescent="0.3">
      <c r="A570" s="1"/>
      <c r="B570" s="1"/>
      <c r="C570" s="1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 x14ac:dyDescent="0.3">
      <c r="A571" s="1"/>
      <c r="B571" s="1"/>
      <c r="C571" s="1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 x14ac:dyDescent="0.3">
      <c r="A572" s="1"/>
      <c r="B572" s="1"/>
      <c r="C572" s="1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 x14ac:dyDescent="0.3">
      <c r="A573" s="1"/>
      <c r="B573" s="1"/>
      <c r="C573" s="1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 x14ac:dyDescent="0.3">
      <c r="A574" s="1"/>
      <c r="B574" s="1"/>
      <c r="C574" s="1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 x14ac:dyDescent="0.3">
      <c r="A575" s="1"/>
      <c r="B575" s="1"/>
      <c r="C575" s="1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 x14ac:dyDescent="0.3">
      <c r="A576" s="1"/>
      <c r="B576" s="1"/>
      <c r="C576" s="1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 x14ac:dyDescent="0.3">
      <c r="A577" s="1"/>
      <c r="B577" s="1"/>
      <c r="C577" s="1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 x14ac:dyDescent="0.3">
      <c r="A578" s="1"/>
      <c r="B578" s="1"/>
      <c r="C578" s="1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 x14ac:dyDescent="0.3">
      <c r="A579" s="1"/>
      <c r="B579" s="1"/>
      <c r="C579" s="1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 x14ac:dyDescent="0.3">
      <c r="A580" s="1"/>
      <c r="B580" s="1"/>
      <c r="C580" s="1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 x14ac:dyDescent="0.3">
      <c r="A581" s="1"/>
      <c r="B581" s="1"/>
      <c r="C581" s="1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 x14ac:dyDescent="0.3">
      <c r="A582" s="1"/>
      <c r="B582" s="1"/>
      <c r="C582" s="1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 x14ac:dyDescent="0.3">
      <c r="A583" s="1"/>
      <c r="B583" s="1"/>
      <c r="C583" s="1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 x14ac:dyDescent="0.3">
      <c r="A584" s="1"/>
      <c r="B584" s="1"/>
      <c r="C584" s="1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 x14ac:dyDescent="0.3">
      <c r="A585" s="1"/>
      <c r="B585" s="1"/>
      <c r="C585" s="1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 x14ac:dyDescent="0.3">
      <c r="A586" s="1"/>
      <c r="B586" s="1"/>
      <c r="C586" s="1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 x14ac:dyDescent="0.3">
      <c r="A587" s="1"/>
      <c r="B587" s="1"/>
      <c r="C587" s="1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 x14ac:dyDescent="0.3">
      <c r="A588" s="1"/>
      <c r="B588" s="1"/>
      <c r="C588" s="1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 x14ac:dyDescent="0.3">
      <c r="A589" s="1"/>
      <c r="B589" s="1"/>
      <c r="C589" s="1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 x14ac:dyDescent="0.3">
      <c r="A590" s="1"/>
      <c r="B590" s="1"/>
      <c r="C590" s="1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 x14ac:dyDescent="0.3">
      <c r="A591" s="1"/>
      <c r="B591" s="1"/>
      <c r="C591" s="1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 x14ac:dyDescent="0.3">
      <c r="A592" s="1"/>
      <c r="B592" s="1"/>
      <c r="C592" s="1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 x14ac:dyDescent="0.3">
      <c r="A593" s="1"/>
      <c r="B593" s="1"/>
      <c r="C593" s="1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 x14ac:dyDescent="0.3">
      <c r="A594" s="1"/>
      <c r="B594" s="1"/>
      <c r="C594" s="1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 x14ac:dyDescent="0.3">
      <c r="A595" s="1"/>
      <c r="B595" s="1"/>
      <c r="C595" s="1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 x14ac:dyDescent="0.3">
      <c r="A596" s="1"/>
      <c r="B596" s="1"/>
      <c r="C596" s="1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 x14ac:dyDescent="0.3">
      <c r="A597" s="1"/>
      <c r="B597" s="1"/>
      <c r="C597" s="1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 x14ac:dyDescent="0.3">
      <c r="A598" s="1"/>
      <c r="B598" s="1"/>
      <c r="C598" s="1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 x14ac:dyDescent="0.3">
      <c r="A599" s="1"/>
      <c r="B599" s="1"/>
      <c r="C599" s="1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 x14ac:dyDescent="0.3">
      <c r="A600" s="1"/>
      <c r="B600" s="1"/>
      <c r="C600" s="1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 x14ac:dyDescent="0.3">
      <c r="A601" s="1"/>
      <c r="B601" s="1"/>
      <c r="C601" s="1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 x14ac:dyDescent="0.3">
      <c r="A602" s="1"/>
      <c r="B602" s="1"/>
      <c r="C602" s="1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 x14ac:dyDescent="0.3">
      <c r="A603" s="1"/>
      <c r="B603" s="1"/>
      <c r="C603" s="1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 x14ac:dyDescent="0.3">
      <c r="A604" s="1"/>
      <c r="B604" s="1"/>
      <c r="C604" s="1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 x14ac:dyDescent="0.3">
      <c r="A605" s="1"/>
      <c r="B605" s="1"/>
      <c r="C605" s="1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 x14ac:dyDescent="0.3">
      <c r="A606" s="1"/>
      <c r="B606" s="1"/>
      <c r="C606" s="1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 x14ac:dyDescent="0.3">
      <c r="A607" s="1"/>
      <c r="B607" s="1"/>
      <c r="C607" s="1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 x14ac:dyDescent="0.3">
      <c r="A608" s="1"/>
      <c r="B608" s="1"/>
      <c r="C608" s="1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 x14ac:dyDescent="0.3">
      <c r="A609" s="1"/>
      <c r="B609" s="1"/>
      <c r="C609" s="1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 x14ac:dyDescent="0.3">
      <c r="A610" s="1"/>
      <c r="B610" s="1"/>
      <c r="C610" s="1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 x14ac:dyDescent="0.3">
      <c r="A611" s="1"/>
      <c r="B611" s="1"/>
      <c r="C611" s="1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 x14ac:dyDescent="0.3">
      <c r="A612" s="1"/>
      <c r="B612" s="1"/>
      <c r="C612" s="1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 x14ac:dyDescent="0.3">
      <c r="A613" s="1"/>
      <c r="B613" s="1"/>
      <c r="C613" s="1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 x14ac:dyDescent="0.3">
      <c r="A614" s="1"/>
      <c r="B614" s="1"/>
      <c r="C614" s="1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 x14ac:dyDescent="0.3">
      <c r="A615" s="1"/>
      <c r="B615" s="1"/>
      <c r="C615" s="1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 x14ac:dyDescent="0.3">
      <c r="A616" s="1"/>
      <c r="B616" s="1"/>
      <c r="C616" s="1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 x14ac:dyDescent="0.3">
      <c r="A617" s="1"/>
      <c r="B617" s="1"/>
      <c r="C617" s="1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 x14ac:dyDescent="0.3">
      <c r="A618" s="1"/>
      <c r="B618" s="1"/>
      <c r="C618" s="1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 x14ac:dyDescent="0.3">
      <c r="A619" s="1"/>
      <c r="B619" s="1"/>
      <c r="C619" s="1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 x14ac:dyDescent="0.3">
      <c r="A620" s="1"/>
      <c r="B620" s="1"/>
      <c r="C620" s="1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 x14ac:dyDescent="0.3">
      <c r="A621" s="1"/>
      <c r="B621" s="1"/>
      <c r="C621" s="1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 x14ac:dyDescent="0.3">
      <c r="A622" s="1"/>
      <c r="B622" s="1"/>
      <c r="C622" s="1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 x14ac:dyDescent="0.3">
      <c r="A623" s="1"/>
      <c r="B623" s="1"/>
      <c r="C623" s="1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 x14ac:dyDescent="0.3">
      <c r="A624" s="1"/>
      <c r="B624" s="1"/>
      <c r="C624" s="1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 x14ac:dyDescent="0.3">
      <c r="A625" s="1"/>
      <c r="B625" s="1"/>
      <c r="C625" s="1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 x14ac:dyDescent="0.3">
      <c r="A626" s="1"/>
      <c r="B626" s="1"/>
      <c r="C626" s="1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 x14ac:dyDescent="0.3">
      <c r="A627" s="1"/>
      <c r="B627" s="1"/>
      <c r="C627" s="1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 x14ac:dyDescent="0.3">
      <c r="A628" s="1"/>
      <c r="B628" s="1"/>
      <c r="C628" s="1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 x14ac:dyDescent="0.3">
      <c r="A629" s="1"/>
      <c r="B629" s="1"/>
      <c r="C629" s="1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 x14ac:dyDescent="0.3">
      <c r="A630" s="1"/>
      <c r="B630" s="1"/>
      <c r="C630" s="1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 x14ac:dyDescent="0.3">
      <c r="A631" s="1"/>
      <c r="B631" s="1"/>
      <c r="C631" s="1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 x14ac:dyDescent="0.3">
      <c r="A632" s="1"/>
      <c r="B632" s="1"/>
      <c r="C632" s="1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 x14ac:dyDescent="0.3">
      <c r="A633" s="1"/>
      <c r="B633" s="1"/>
      <c r="C633" s="1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 x14ac:dyDescent="0.3">
      <c r="A634" s="1"/>
      <c r="B634" s="1"/>
      <c r="C634" s="1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 x14ac:dyDescent="0.3">
      <c r="A635" s="1"/>
      <c r="B635" s="1"/>
      <c r="C635" s="1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 x14ac:dyDescent="0.3">
      <c r="A636" s="1"/>
      <c r="B636" s="1"/>
      <c r="C636" s="1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 x14ac:dyDescent="0.3">
      <c r="A637" s="1"/>
      <c r="B637" s="1"/>
      <c r="C637" s="1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 x14ac:dyDescent="0.3">
      <c r="A638" s="1"/>
      <c r="B638" s="1"/>
      <c r="C638" s="1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 x14ac:dyDescent="0.3">
      <c r="A639" s="1"/>
      <c r="B639" s="1"/>
      <c r="C639" s="1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 x14ac:dyDescent="0.3">
      <c r="A640" s="1"/>
      <c r="B640" s="1"/>
      <c r="C640" s="1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 x14ac:dyDescent="0.3">
      <c r="A641" s="1"/>
      <c r="B641" s="1"/>
      <c r="C641" s="1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 x14ac:dyDescent="0.3">
      <c r="A642" s="1"/>
      <c r="B642" s="1"/>
      <c r="C642" s="1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 x14ac:dyDescent="0.3">
      <c r="A643" s="1"/>
      <c r="B643" s="1"/>
      <c r="C643" s="1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 x14ac:dyDescent="0.3">
      <c r="A644" s="1"/>
      <c r="B644" s="1"/>
      <c r="C644" s="1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 x14ac:dyDescent="0.3">
      <c r="A645" s="1"/>
      <c r="B645" s="1"/>
      <c r="C645" s="1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 x14ac:dyDescent="0.3">
      <c r="A646" s="1"/>
      <c r="B646" s="1"/>
      <c r="C646" s="1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 x14ac:dyDescent="0.3">
      <c r="A647" s="1"/>
      <c r="B647" s="1"/>
      <c r="C647" s="1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 x14ac:dyDescent="0.3">
      <c r="A648" s="1"/>
      <c r="B648" s="1"/>
      <c r="C648" s="1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 x14ac:dyDescent="0.3">
      <c r="A649" s="1"/>
      <c r="B649" s="1"/>
      <c r="C649" s="1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 x14ac:dyDescent="0.3">
      <c r="A650" s="1"/>
      <c r="B650" s="1"/>
      <c r="C650" s="1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 x14ac:dyDescent="0.3">
      <c r="A651" s="1"/>
      <c r="B651" s="1"/>
      <c r="C651" s="1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 x14ac:dyDescent="0.3">
      <c r="A652" s="1"/>
      <c r="B652" s="1"/>
      <c r="C652" s="1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 x14ac:dyDescent="0.3">
      <c r="A653" s="1"/>
      <c r="B653" s="1"/>
      <c r="C653" s="1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 x14ac:dyDescent="0.3">
      <c r="A654" s="1"/>
      <c r="B654" s="1"/>
      <c r="C654" s="1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 x14ac:dyDescent="0.3">
      <c r="A655" s="1"/>
      <c r="B655" s="1"/>
      <c r="C655" s="1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 x14ac:dyDescent="0.3">
      <c r="A656" s="1"/>
      <c r="B656" s="1"/>
      <c r="C656" s="1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 x14ac:dyDescent="0.3">
      <c r="A657" s="1"/>
      <c r="B657" s="1"/>
      <c r="C657" s="1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 x14ac:dyDescent="0.3">
      <c r="A658" s="1"/>
      <c r="B658" s="1"/>
      <c r="C658" s="1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 x14ac:dyDescent="0.3">
      <c r="A659" s="1"/>
      <c r="B659" s="1"/>
      <c r="C659" s="1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 x14ac:dyDescent="0.3">
      <c r="A660" s="1"/>
      <c r="B660" s="1"/>
      <c r="C660" s="1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 x14ac:dyDescent="0.3">
      <c r="A661" s="1"/>
      <c r="B661" s="1"/>
      <c r="C661" s="1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 x14ac:dyDescent="0.3">
      <c r="A662" s="1"/>
      <c r="B662" s="1"/>
      <c r="C662" s="1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 x14ac:dyDescent="0.3">
      <c r="A663" s="1"/>
      <c r="B663" s="1"/>
      <c r="C663" s="1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 x14ac:dyDescent="0.3">
      <c r="A664" s="1"/>
      <c r="B664" s="1"/>
      <c r="C664" s="1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 x14ac:dyDescent="0.3">
      <c r="A665" s="1"/>
      <c r="B665" s="1"/>
      <c r="C665" s="1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 x14ac:dyDescent="0.3">
      <c r="A666" s="1"/>
      <c r="B666" s="1"/>
      <c r="C666" s="1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 x14ac:dyDescent="0.3">
      <c r="A667" s="1"/>
      <c r="B667" s="1"/>
      <c r="C667" s="1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 x14ac:dyDescent="0.3">
      <c r="A668" s="1"/>
      <c r="B668" s="1"/>
      <c r="C668" s="1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 x14ac:dyDescent="0.3">
      <c r="A669" s="1"/>
      <c r="B669" s="1"/>
      <c r="C669" s="1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 x14ac:dyDescent="0.3">
      <c r="A670" s="1"/>
      <c r="B670" s="1"/>
      <c r="C670" s="1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 x14ac:dyDescent="0.3">
      <c r="A671" s="1"/>
      <c r="B671" s="1"/>
      <c r="C671" s="1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 x14ac:dyDescent="0.3">
      <c r="A672" s="1"/>
      <c r="B672" s="1"/>
      <c r="C672" s="1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 x14ac:dyDescent="0.3">
      <c r="A673" s="1"/>
      <c r="B673" s="1"/>
      <c r="C673" s="1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 x14ac:dyDescent="0.3">
      <c r="A674" s="1"/>
      <c r="B674" s="1"/>
      <c r="C674" s="1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 x14ac:dyDescent="0.3">
      <c r="A675" s="1"/>
      <c r="B675" s="1"/>
      <c r="C675" s="1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 x14ac:dyDescent="0.3">
      <c r="A676" s="1"/>
      <c r="B676" s="1"/>
      <c r="C676" s="1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 x14ac:dyDescent="0.3">
      <c r="A677" s="1"/>
      <c r="B677" s="1"/>
      <c r="C677" s="1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 x14ac:dyDescent="0.3">
      <c r="A678" s="1"/>
      <c r="B678" s="1"/>
      <c r="C678" s="1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 x14ac:dyDescent="0.3">
      <c r="A679" s="1"/>
      <c r="B679" s="1"/>
      <c r="C679" s="1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 x14ac:dyDescent="0.3">
      <c r="A680" s="1"/>
      <c r="B680" s="1"/>
      <c r="C680" s="1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 x14ac:dyDescent="0.3">
      <c r="A681" s="1"/>
      <c r="B681" s="1"/>
      <c r="C681" s="1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 x14ac:dyDescent="0.3">
      <c r="A682" s="1"/>
      <c r="B682" s="1"/>
      <c r="C682" s="1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 x14ac:dyDescent="0.3">
      <c r="A683" s="1"/>
      <c r="B683" s="1"/>
      <c r="C683" s="1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 x14ac:dyDescent="0.3">
      <c r="A684" s="1"/>
      <c r="B684" s="1"/>
      <c r="C684" s="1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 x14ac:dyDescent="0.3">
      <c r="A685" s="1"/>
      <c r="B685" s="1"/>
      <c r="C685" s="1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 x14ac:dyDescent="0.3">
      <c r="A686" s="1"/>
      <c r="B686" s="1"/>
      <c r="C686" s="1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 x14ac:dyDescent="0.3">
      <c r="A687" s="1"/>
      <c r="B687" s="1"/>
      <c r="C687" s="1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 x14ac:dyDescent="0.3">
      <c r="A688" s="1"/>
      <c r="B688" s="1"/>
      <c r="C688" s="1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 x14ac:dyDescent="0.3">
      <c r="A689" s="1"/>
      <c r="B689" s="1"/>
      <c r="C689" s="1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 x14ac:dyDescent="0.3">
      <c r="A690" s="1"/>
      <c r="B690" s="1"/>
      <c r="C690" s="1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 x14ac:dyDescent="0.3">
      <c r="A691" s="1"/>
      <c r="B691" s="1"/>
      <c r="C691" s="1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 x14ac:dyDescent="0.3">
      <c r="A692" s="1"/>
      <c r="B692" s="1"/>
      <c r="C692" s="1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 x14ac:dyDescent="0.3">
      <c r="A693" s="1"/>
      <c r="B693" s="1"/>
      <c r="C693" s="1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 x14ac:dyDescent="0.3">
      <c r="A694" s="1"/>
      <c r="B694" s="1"/>
      <c r="C694" s="1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 x14ac:dyDescent="0.3">
      <c r="A695" s="1"/>
      <c r="B695" s="1"/>
      <c r="C695" s="1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 x14ac:dyDescent="0.3">
      <c r="A696" s="1"/>
      <c r="B696" s="1"/>
      <c r="C696" s="1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 x14ac:dyDescent="0.3">
      <c r="A697" s="1"/>
      <c r="B697" s="1"/>
      <c r="C697" s="1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 x14ac:dyDescent="0.3">
      <c r="A698" s="1"/>
      <c r="B698" s="1"/>
      <c r="C698" s="1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 x14ac:dyDescent="0.3">
      <c r="A699" s="1"/>
      <c r="B699" s="1"/>
      <c r="C699" s="1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 x14ac:dyDescent="0.3">
      <c r="A700" s="1"/>
      <c r="B700" s="1"/>
      <c r="C700" s="1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 x14ac:dyDescent="0.3">
      <c r="A701" s="1"/>
      <c r="B701" s="1"/>
      <c r="C701" s="1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 x14ac:dyDescent="0.3">
      <c r="A702" s="1"/>
      <c r="B702" s="1"/>
      <c r="C702" s="1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 x14ac:dyDescent="0.3">
      <c r="A703" s="1"/>
      <c r="B703" s="1"/>
      <c r="C703" s="1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 x14ac:dyDescent="0.3">
      <c r="A704" s="1"/>
      <c r="B704" s="1"/>
      <c r="C704" s="1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 x14ac:dyDescent="0.3">
      <c r="A705" s="1"/>
      <c r="B705" s="1"/>
      <c r="C705" s="1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 x14ac:dyDescent="0.3">
      <c r="A706" s="1"/>
      <c r="B706" s="1"/>
      <c r="C706" s="1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 x14ac:dyDescent="0.3">
      <c r="A707" s="1"/>
      <c r="B707" s="1"/>
      <c r="C707" s="1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 x14ac:dyDescent="0.3">
      <c r="A708" s="1"/>
      <c r="B708" s="1"/>
      <c r="C708" s="1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 x14ac:dyDescent="0.3">
      <c r="A709" s="1"/>
      <c r="B709" s="1"/>
      <c r="C709" s="1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 x14ac:dyDescent="0.3">
      <c r="A710" s="1"/>
      <c r="B710" s="1"/>
      <c r="C710" s="1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 x14ac:dyDescent="0.3">
      <c r="A711" s="1"/>
      <c r="B711" s="1"/>
      <c r="C711" s="1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 x14ac:dyDescent="0.3">
      <c r="A712" s="1"/>
      <c r="B712" s="1"/>
      <c r="C712" s="1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 x14ac:dyDescent="0.3">
      <c r="A713" s="1"/>
      <c r="B713" s="1"/>
      <c r="C713" s="1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 x14ac:dyDescent="0.3">
      <c r="A714" s="1"/>
      <c r="B714" s="1"/>
      <c r="C714" s="1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 x14ac:dyDescent="0.3">
      <c r="A715" s="1"/>
      <c r="B715" s="1"/>
      <c r="C715" s="1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 x14ac:dyDescent="0.3">
      <c r="A716" s="1"/>
      <c r="B716" s="1"/>
      <c r="C716" s="1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 x14ac:dyDescent="0.3">
      <c r="A717" s="1"/>
      <c r="B717" s="1"/>
      <c r="C717" s="1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 x14ac:dyDescent="0.3">
      <c r="A718" s="1"/>
      <c r="B718" s="1"/>
      <c r="C718" s="1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 x14ac:dyDescent="0.3">
      <c r="A719" s="1"/>
      <c r="B719" s="1"/>
      <c r="C719" s="1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 x14ac:dyDescent="0.3">
      <c r="A720" s="1"/>
      <c r="B720" s="1"/>
      <c r="C720" s="1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 x14ac:dyDescent="0.3">
      <c r="A721" s="1"/>
      <c r="B721" s="1"/>
      <c r="C721" s="1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 x14ac:dyDescent="0.3">
      <c r="A722" s="1"/>
      <c r="B722" s="1"/>
      <c r="C722" s="1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 x14ac:dyDescent="0.3">
      <c r="A723" s="1"/>
      <c r="B723" s="1"/>
      <c r="C723" s="1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 x14ac:dyDescent="0.3">
      <c r="A724" s="1"/>
      <c r="B724" s="1"/>
      <c r="C724" s="1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 x14ac:dyDescent="0.3">
      <c r="A725" s="1"/>
      <c r="B725" s="1"/>
      <c r="C725" s="1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 x14ac:dyDescent="0.3">
      <c r="A726" s="1"/>
      <c r="B726" s="1"/>
      <c r="C726" s="1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 x14ac:dyDescent="0.3">
      <c r="A727" s="1"/>
      <c r="B727" s="1"/>
      <c r="C727" s="1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 x14ac:dyDescent="0.3">
      <c r="A728" s="1"/>
      <c r="B728" s="1"/>
      <c r="C728" s="1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 x14ac:dyDescent="0.3">
      <c r="A729" s="1"/>
      <c r="B729" s="1"/>
      <c r="C729" s="1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 x14ac:dyDescent="0.3">
      <c r="A730" s="1"/>
      <c r="B730" s="1"/>
      <c r="C730" s="1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 x14ac:dyDescent="0.3">
      <c r="A731" s="1"/>
      <c r="B731" s="1"/>
      <c r="C731" s="1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 x14ac:dyDescent="0.3">
      <c r="A732" s="1"/>
      <c r="B732" s="1"/>
      <c r="C732" s="1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 x14ac:dyDescent="0.3">
      <c r="A733" s="1"/>
      <c r="B733" s="1"/>
      <c r="C733" s="1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 x14ac:dyDescent="0.3">
      <c r="A734" s="1"/>
      <c r="B734" s="1"/>
      <c r="C734" s="1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 x14ac:dyDescent="0.3">
      <c r="A735" s="1"/>
      <c r="B735" s="1"/>
      <c r="C735" s="1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 x14ac:dyDescent="0.3">
      <c r="A736" s="1"/>
      <c r="B736" s="1"/>
      <c r="C736" s="1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 x14ac:dyDescent="0.3">
      <c r="A737" s="1"/>
      <c r="B737" s="1"/>
      <c r="C737" s="1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 x14ac:dyDescent="0.3">
      <c r="A738" s="1"/>
      <c r="B738" s="1"/>
      <c r="C738" s="1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 x14ac:dyDescent="0.3">
      <c r="A739" s="1"/>
      <c r="B739" s="1"/>
      <c r="C739" s="1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 x14ac:dyDescent="0.3">
      <c r="A740" s="1"/>
      <c r="B740" s="1"/>
      <c r="C740" s="1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 x14ac:dyDescent="0.3">
      <c r="A741" s="1"/>
      <c r="B741" s="1"/>
      <c r="C741" s="1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 x14ac:dyDescent="0.3">
      <c r="A742" s="1"/>
      <c r="B742" s="1"/>
      <c r="C742" s="1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 x14ac:dyDescent="0.3">
      <c r="A743" s="1"/>
      <c r="B743" s="1"/>
      <c r="C743" s="1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 x14ac:dyDescent="0.3">
      <c r="A744" s="1"/>
      <c r="B744" s="1"/>
      <c r="C744" s="1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 x14ac:dyDescent="0.3">
      <c r="A745" s="1"/>
      <c r="B745" s="1"/>
      <c r="C745" s="1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 x14ac:dyDescent="0.3">
      <c r="A746" s="1"/>
      <c r="B746" s="1"/>
      <c r="C746" s="1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 x14ac:dyDescent="0.3">
      <c r="A747" s="1"/>
      <c r="B747" s="1"/>
      <c r="C747" s="1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 x14ac:dyDescent="0.3">
      <c r="A748" s="1"/>
      <c r="B748" s="1"/>
      <c r="C748" s="1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 x14ac:dyDescent="0.3">
      <c r="A749" s="1"/>
      <c r="B749" s="1"/>
      <c r="C749" s="1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 x14ac:dyDescent="0.3">
      <c r="A750" s="1"/>
      <c r="B750" s="1"/>
      <c r="C750" s="1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 x14ac:dyDescent="0.3">
      <c r="A751" s="1"/>
      <c r="B751" s="1"/>
      <c r="C751" s="1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 x14ac:dyDescent="0.3">
      <c r="A752" s="1"/>
      <c r="B752" s="1"/>
      <c r="C752" s="1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 x14ac:dyDescent="0.3">
      <c r="A753" s="1"/>
      <c r="B753" s="1"/>
      <c r="C753" s="1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 x14ac:dyDescent="0.3">
      <c r="A754" s="1"/>
      <c r="B754" s="1"/>
      <c r="C754" s="1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 x14ac:dyDescent="0.3">
      <c r="A755" s="1"/>
      <c r="B755" s="1"/>
      <c r="C755" s="1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 x14ac:dyDescent="0.3">
      <c r="A756" s="1"/>
      <c r="B756" s="1"/>
      <c r="C756" s="1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 x14ac:dyDescent="0.3">
      <c r="A757" s="1"/>
      <c r="B757" s="1"/>
      <c r="C757" s="1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 x14ac:dyDescent="0.3">
      <c r="A758" s="1"/>
      <c r="B758" s="1"/>
      <c r="C758" s="1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 x14ac:dyDescent="0.3">
      <c r="A759" s="1"/>
      <c r="B759" s="1"/>
      <c r="C759" s="1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 x14ac:dyDescent="0.3">
      <c r="A760" s="1"/>
      <c r="B760" s="1"/>
      <c r="C760" s="1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 x14ac:dyDescent="0.3">
      <c r="A761" s="1"/>
      <c r="B761" s="1"/>
      <c r="C761" s="1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 x14ac:dyDescent="0.3">
      <c r="A762" s="1"/>
      <c r="B762" s="1"/>
      <c r="C762" s="1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 x14ac:dyDescent="0.3">
      <c r="A763" s="1"/>
      <c r="B763" s="1"/>
      <c r="C763" s="1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 x14ac:dyDescent="0.3">
      <c r="A764" s="1"/>
      <c r="B764" s="1"/>
      <c r="C764" s="1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 x14ac:dyDescent="0.3">
      <c r="A765" s="1"/>
      <c r="B765" s="1"/>
      <c r="C765" s="1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 x14ac:dyDescent="0.3">
      <c r="A766" s="1"/>
      <c r="B766" s="1"/>
      <c r="C766" s="1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 x14ac:dyDescent="0.3">
      <c r="A767" s="1"/>
      <c r="B767" s="1"/>
      <c r="C767" s="1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 x14ac:dyDescent="0.3">
      <c r="A768" s="1"/>
      <c r="B768" s="1"/>
      <c r="C768" s="1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 x14ac:dyDescent="0.3">
      <c r="A769" s="1"/>
      <c r="B769" s="1"/>
      <c r="C769" s="1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 x14ac:dyDescent="0.3">
      <c r="A770" s="1"/>
      <c r="B770" s="1"/>
      <c r="C770" s="1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 x14ac:dyDescent="0.3">
      <c r="A771" s="1"/>
      <c r="B771" s="1"/>
      <c r="C771" s="1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 x14ac:dyDescent="0.3">
      <c r="A772" s="1"/>
      <c r="B772" s="1"/>
      <c r="C772" s="1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 x14ac:dyDescent="0.3">
      <c r="A773" s="1"/>
      <c r="B773" s="1"/>
      <c r="C773" s="1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 x14ac:dyDescent="0.3">
      <c r="A774" s="1"/>
      <c r="B774" s="1"/>
      <c r="C774" s="1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 x14ac:dyDescent="0.3">
      <c r="A775" s="1"/>
      <c r="B775" s="1"/>
      <c r="C775" s="1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 x14ac:dyDescent="0.3">
      <c r="A776" s="1"/>
      <c r="B776" s="1"/>
      <c r="C776" s="1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 x14ac:dyDescent="0.3">
      <c r="A777" s="1"/>
      <c r="B777" s="1"/>
      <c r="C777" s="1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 x14ac:dyDescent="0.3">
      <c r="A778" s="1"/>
      <c r="B778" s="1"/>
      <c r="C778" s="1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 x14ac:dyDescent="0.3">
      <c r="A779" s="1"/>
      <c r="B779" s="1"/>
      <c r="C779" s="1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 x14ac:dyDescent="0.3">
      <c r="A780" s="1"/>
      <c r="B780" s="1"/>
      <c r="C780" s="1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 x14ac:dyDescent="0.3">
      <c r="A781" s="1"/>
      <c r="B781" s="1"/>
      <c r="C781" s="1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 x14ac:dyDescent="0.3">
      <c r="A782" s="1"/>
      <c r="B782" s="1"/>
      <c r="C782" s="1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 x14ac:dyDescent="0.3">
      <c r="A783" s="1"/>
      <c r="B783" s="1"/>
      <c r="C783" s="1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 x14ac:dyDescent="0.3">
      <c r="A784" s="1"/>
      <c r="B784" s="1"/>
      <c r="C784" s="1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 x14ac:dyDescent="0.3">
      <c r="A785" s="1"/>
      <c r="B785" s="1"/>
      <c r="C785" s="1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 x14ac:dyDescent="0.3">
      <c r="A786" s="1"/>
      <c r="B786" s="1"/>
      <c r="C786" s="1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 x14ac:dyDescent="0.3">
      <c r="A787" s="1"/>
      <c r="B787" s="1"/>
      <c r="C787" s="1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 x14ac:dyDescent="0.3">
      <c r="A788" s="1"/>
      <c r="B788" s="1"/>
      <c r="C788" s="1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 x14ac:dyDescent="0.3">
      <c r="A789" s="1"/>
      <c r="B789" s="1"/>
      <c r="C789" s="1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 x14ac:dyDescent="0.3">
      <c r="A790" s="1"/>
      <c r="B790" s="1"/>
      <c r="C790" s="1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 x14ac:dyDescent="0.3">
      <c r="A791" s="1"/>
      <c r="B791" s="1"/>
      <c r="C791" s="1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 x14ac:dyDescent="0.3">
      <c r="A792" s="1"/>
      <c r="B792" s="1"/>
      <c r="C792" s="1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 x14ac:dyDescent="0.3">
      <c r="A793" s="1"/>
      <c r="B793" s="1"/>
      <c r="C793" s="1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 x14ac:dyDescent="0.3">
      <c r="A794" s="1"/>
      <c r="B794" s="1"/>
      <c r="C794" s="1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 x14ac:dyDescent="0.3">
      <c r="A795" s="1"/>
      <c r="B795" s="1"/>
      <c r="C795" s="1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 x14ac:dyDescent="0.3">
      <c r="A796" s="1"/>
      <c r="B796" s="1"/>
      <c r="C796" s="1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 x14ac:dyDescent="0.3">
      <c r="A797" s="1"/>
      <c r="B797" s="1"/>
      <c r="C797" s="1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 x14ac:dyDescent="0.3">
      <c r="A798" s="1"/>
      <c r="B798" s="1"/>
      <c r="C798" s="1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 x14ac:dyDescent="0.3">
      <c r="A799" s="1"/>
      <c r="B799" s="1"/>
      <c r="C799" s="1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 x14ac:dyDescent="0.3">
      <c r="A800" s="1"/>
      <c r="B800" s="1"/>
      <c r="C800" s="1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 x14ac:dyDescent="0.3">
      <c r="A801" s="1"/>
      <c r="B801" s="1"/>
      <c r="C801" s="1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 x14ac:dyDescent="0.3">
      <c r="A802" s="1"/>
      <c r="B802" s="1"/>
      <c r="C802" s="1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 x14ac:dyDescent="0.3">
      <c r="A803" s="1"/>
      <c r="B803" s="1"/>
      <c r="C803" s="1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 x14ac:dyDescent="0.3">
      <c r="A804" s="1"/>
      <c r="B804" s="1"/>
      <c r="C804" s="1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 x14ac:dyDescent="0.3">
      <c r="A805" s="1"/>
      <c r="B805" s="1"/>
      <c r="C805" s="1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 x14ac:dyDescent="0.3">
      <c r="A806" s="1"/>
      <c r="B806" s="1"/>
      <c r="C806" s="1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 x14ac:dyDescent="0.3">
      <c r="A807" s="1"/>
      <c r="B807" s="1"/>
      <c r="C807" s="1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 x14ac:dyDescent="0.3">
      <c r="A808" s="1"/>
      <c r="B808" s="1"/>
      <c r="C808" s="1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 x14ac:dyDescent="0.3">
      <c r="A809" s="1"/>
      <c r="B809" s="1"/>
      <c r="C809" s="1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 x14ac:dyDescent="0.3">
      <c r="A810" s="1"/>
      <c r="B810" s="1"/>
      <c r="C810" s="1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 x14ac:dyDescent="0.3">
      <c r="A811" s="1"/>
      <c r="B811" s="1"/>
      <c r="C811" s="1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 x14ac:dyDescent="0.3">
      <c r="A812" s="1"/>
      <c r="B812" s="1"/>
      <c r="C812" s="1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 x14ac:dyDescent="0.3">
      <c r="A813" s="1"/>
      <c r="B813" s="1"/>
      <c r="C813" s="1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 x14ac:dyDescent="0.3">
      <c r="A814" s="1"/>
      <c r="B814" s="1"/>
      <c r="C814" s="1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 x14ac:dyDescent="0.3">
      <c r="A815" s="1"/>
      <c r="B815" s="1"/>
      <c r="C815" s="1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 x14ac:dyDescent="0.3">
      <c r="A816" s="1"/>
      <c r="B816" s="1"/>
      <c r="C816" s="1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 x14ac:dyDescent="0.3">
      <c r="A817" s="1"/>
      <c r="B817" s="1"/>
      <c r="C817" s="1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 x14ac:dyDescent="0.3">
      <c r="A818" s="1"/>
      <c r="B818" s="1"/>
      <c r="C818" s="1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 x14ac:dyDescent="0.3">
      <c r="A819" s="1"/>
      <c r="B819" s="1"/>
      <c r="C819" s="1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 x14ac:dyDescent="0.3">
      <c r="A820" s="1"/>
      <c r="B820" s="1"/>
      <c r="C820" s="1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 x14ac:dyDescent="0.3">
      <c r="A821" s="1"/>
      <c r="B821" s="1"/>
      <c r="C821" s="1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 x14ac:dyDescent="0.3">
      <c r="A822" s="1"/>
      <c r="B822" s="1"/>
      <c r="C822" s="1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 x14ac:dyDescent="0.3">
      <c r="A823" s="1"/>
      <c r="B823" s="1"/>
      <c r="C823" s="1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 x14ac:dyDescent="0.3">
      <c r="A824" s="1"/>
      <c r="B824" s="1"/>
      <c r="C824" s="1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 x14ac:dyDescent="0.3">
      <c r="A825" s="1"/>
      <c r="B825" s="1"/>
      <c r="C825" s="1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 x14ac:dyDescent="0.3">
      <c r="A826" s="1"/>
      <c r="B826" s="1"/>
      <c r="C826" s="1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 x14ac:dyDescent="0.3">
      <c r="A827" s="1"/>
      <c r="B827" s="1"/>
      <c r="C827" s="1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 x14ac:dyDescent="0.3">
      <c r="A828" s="1"/>
      <c r="B828" s="1"/>
      <c r="C828" s="1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 x14ac:dyDescent="0.3">
      <c r="A829" s="1"/>
      <c r="B829" s="1"/>
      <c r="C829" s="1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 x14ac:dyDescent="0.3">
      <c r="A830" s="1"/>
      <c r="B830" s="1"/>
      <c r="C830" s="1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 x14ac:dyDescent="0.3">
      <c r="A831" s="1"/>
      <c r="B831" s="1"/>
      <c r="C831" s="1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 x14ac:dyDescent="0.3">
      <c r="A832" s="1"/>
      <c r="B832" s="1"/>
      <c r="C832" s="1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 x14ac:dyDescent="0.3">
      <c r="A833" s="1"/>
      <c r="B833" s="1"/>
      <c r="C833" s="1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 x14ac:dyDescent="0.3">
      <c r="A834" s="1"/>
      <c r="B834" s="1"/>
      <c r="C834" s="1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 x14ac:dyDescent="0.3">
      <c r="A835" s="1"/>
      <c r="B835" s="1"/>
      <c r="C835" s="1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 x14ac:dyDescent="0.3">
      <c r="A836" s="1"/>
      <c r="B836" s="1"/>
      <c r="C836" s="1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 x14ac:dyDescent="0.3">
      <c r="A837" s="1"/>
      <c r="B837" s="1"/>
      <c r="C837" s="1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 x14ac:dyDescent="0.3">
      <c r="A838" s="1"/>
      <c r="B838" s="1"/>
      <c r="C838" s="1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 x14ac:dyDescent="0.3">
      <c r="A839" s="1"/>
      <c r="B839" s="1"/>
      <c r="C839" s="1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 x14ac:dyDescent="0.3">
      <c r="A840" s="1"/>
      <c r="B840" s="1"/>
      <c r="C840" s="1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 x14ac:dyDescent="0.3">
      <c r="A841" s="1"/>
      <c r="B841" s="1"/>
      <c r="C841" s="1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 x14ac:dyDescent="0.3">
      <c r="A842" s="1"/>
      <c r="B842" s="1"/>
      <c r="C842" s="1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 x14ac:dyDescent="0.3">
      <c r="A843" s="1"/>
      <c r="B843" s="1"/>
      <c r="C843" s="1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 x14ac:dyDescent="0.3">
      <c r="A844" s="1"/>
      <c r="B844" s="1"/>
      <c r="C844" s="1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 x14ac:dyDescent="0.3">
      <c r="A845" s="1"/>
      <c r="B845" s="1"/>
      <c r="C845" s="1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 x14ac:dyDescent="0.3">
      <c r="A846" s="1"/>
      <c r="B846" s="1"/>
      <c r="C846" s="1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 x14ac:dyDescent="0.3">
      <c r="A847" s="1"/>
      <c r="B847" s="1"/>
      <c r="C847" s="1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 x14ac:dyDescent="0.3">
      <c r="A848" s="1"/>
      <c r="B848" s="1"/>
      <c r="C848" s="1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 x14ac:dyDescent="0.3">
      <c r="A849" s="1"/>
      <c r="B849" s="1"/>
      <c r="C849" s="1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 x14ac:dyDescent="0.3">
      <c r="A850" s="1"/>
      <c r="B850" s="1"/>
      <c r="C850" s="1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 x14ac:dyDescent="0.3">
      <c r="A851" s="1"/>
      <c r="B851" s="1"/>
      <c r="C851" s="1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 x14ac:dyDescent="0.3">
      <c r="A852" s="1"/>
      <c r="B852" s="1"/>
      <c r="C852" s="1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 x14ac:dyDescent="0.3">
      <c r="A853" s="1"/>
      <c r="B853" s="1"/>
      <c r="C853" s="1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 x14ac:dyDescent="0.3">
      <c r="A854" s="1"/>
      <c r="B854" s="1"/>
      <c r="C854" s="1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 x14ac:dyDescent="0.3">
      <c r="A855" s="1"/>
      <c r="B855" s="1"/>
      <c r="C855" s="1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 x14ac:dyDescent="0.3">
      <c r="A856" s="1"/>
      <c r="B856" s="1"/>
      <c r="C856" s="1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 x14ac:dyDescent="0.3">
      <c r="A857" s="1"/>
      <c r="B857" s="1"/>
      <c r="C857" s="1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 x14ac:dyDescent="0.3">
      <c r="A858" s="1"/>
      <c r="B858" s="1"/>
      <c r="C858" s="1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 x14ac:dyDescent="0.3">
      <c r="A859" s="1"/>
      <c r="B859" s="1"/>
      <c r="C859" s="1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 x14ac:dyDescent="0.3">
      <c r="A860" s="1"/>
      <c r="B860" s="1"/>
      <c r="C860" s="1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 x14ac:dyDescent="0.3">
      <c r="A861" s="1"/>
      <c r="B861" s="1"/>
      <c r="C861" s="1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 x14ac:dyDescent="0.3">
      <c r="A862" s="1"/>
      <c r="B862" s="1"/>
      <c r="C862" s="1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 x14ac:dyDescent="0.3">
      <c r="A863" s="1"/>
      <c r="B863" s="1"/>
      <c r="C863" s="1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 x14ac:dyDescent="0.3">
      <c r="A864" s="1"/>
      <c r="B864" s="1"/>
      <c r="C864" s="1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 x14ac:dyDescent="0.3">
      <c r="A865" s="1"/>
      <c r="B865" s="1"/>
      <c r="C865" s="1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 x14ac:dyDescent="0.3">
      <c r="A866" s="1"/>
      <c r="B866" s="1"/>
      <c r="C866" s="1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 x14ac:dyDescent="0.3">
      <c r="A867" s="1"/>
      <c r="B867" s="1"/>
      <c r="C867" s="1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 x14ac:dyDescent="0.3">
      <c r="A868" s="1"/>
      <c r="B868" s="1"/>
      <c r="C868" s="1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 x14ac:dyDescent="0.3">
      <c r="A869" s="1"/>
      <c r="B869" s="1"/>
      <c r="C869" s="1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 x14ac:dyDescent="0.3">
      <c r="A870" s="1"/>
      <c r="B870" s="1"/>
      <c r="C870" s="1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 x14ac:dyDescent="0.3">
      <c r="A871" s="1"/>
      <c r="B871" s="1"/>
      <c r="C871" s="1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 x14ac:dyDescent="0.3">
      <c r="A872" s="1"/>
      <c r="B872" s="1"/>
      <c r="C872" s="1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 x14ac:dyDescent="0.3">
      <c r="A873" s="1"/>
      <c r="B873" s="1"/>
      <c r="C873" s="1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 x14ac:dyDescent="0.3">
      <c r="A874" s="1"/>
      <c r="B874" s="1"/>
      <c r="C874" s="1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 x14ac:dyDescent="0.3">
      <c r="A875" s="1"/>
      <c r="B875" s="1"/>
      <c r="C875" s="1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 x14ac:dyDescent="0.3">
      <c r="A876" s="1"/>
      <c r="B876" s="1"/>
      <c r="C876" s="1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 x14ac:dyDescent="0.3">
      <c r="A877" s="1"/>
      <c r="B877" s="1"/>
      <c r="C877" s="1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 x14ac:dyDescent="0.3">
      <c r="A878" s="1"/>
      <c r="B878" s="1"/>
      <c r="C878" s="1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 x14ac:dyDescent="0.3">
      <c r="A879" s="1"/>
      <c r="B879" s="1"/>
      <c r="C879" s="1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 x14ac:dyDescent="0.3">
      <c r="A880" s="1"/>
      <c r="B880" s="1"/>
      <c r="C880" s="1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 x14ac:dyDescent="0.3">
      <c r="A881" s="1"/>
      <c r="B881" s="1"/>
      <c r="C881" s="1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 x14ac:dyDescent="0.3">
      <c r="A882" s="1"/>
      <c r="B882" s="1"/>
      <c r="C882" s="1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 x14ac:dyDescent="0.3">
      <c r="A883" s="1"/>
      <c r="B883" s="1"/>
      <c r="C883" s="1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 x14ac:dyDescent="0.3">
      <c r="A884" s="1"/>
      <c r="B884" s="1"/>
      <c r="C884" s="1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 x14ac:dyDescent="0.3">
      <c r="A885" s="1"/>
      <c r="B885" s="1"/>
      <c r="C885" s="1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 x14ac:dyDescent="0.3">
      <c r="A886" s="1"/>
      <c r="B886" s="1"/>
      <c r="C886" s="1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 x14ac:dyDescent="0.3">
      <c r="A887" s="1"/>
      <c r="B887" s="1"/>
      <c r="C887" s="1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 x14ac:dyDescent="0.3">
      <c r="A888" s="1"/>
      <c r="B888" s="1"/>
      <c r="C888" s="1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 x14ac:dyDescent="0.3">
      <c r="A889" s="1"/>
      <c r="B889" s="1"/>
      <c r="C889" s="1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 x14ac:dyDescent="0.3">
      <c r="A890" s="1"/>
      <c r="B890" s="1"/>
      <c r="C890" s="1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 x14ac:dyDescent="0.3">
      <c r="A891" s="1"/>
      <c r="B891" s="1"/>
      <c r="C891" s="1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 x14ac:dyDescent="0.3">
      <c r="A892" s="1"/>
      <c r="B892" s="1"/>
      <c r="C892" s="1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 x14ac:dyDescent="0.3">
      <c r="A893" s="1"/>
      <c r="B893" s="1"/>
      <c r="C893" s="1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 x14ac:dyDescent="0.3">
      <c r="A894" s="1"/>
      <c r="B894" s="1"/>
      <c r="C894" s="1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 x14ac:dyDescent="0.3">
      <c r="A895" s="1"/>
      <c r="B895" s="1"/>
      <c r="C895" s="1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 x14ac:dyDescent="0.3">
      <c r="A896" s="1"/>
      <c r="B896" s="1"/>
      <c r="C896" s="1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 x14ac:dyDescent="0.3">
      <c r="A897" s="1"/>
      <c r="B897" s="1"/>
      <c r="C897" s="1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 x14ac:dyDescent="0.3">
      <c r="A898" s="1"/>
      <c r="B898" s="1"/>
      <c r="C898" s="1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 x14ac:dyDescent="0.3">
      <c r="A899" s="1"/>
      <c r="B899" s="1"/>
      <c r="C899" s="1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 x14ac:dyDescent="0.3">
      <c r="A900" s="1"/>
      <c r="B900" s="1"/>
      <c r="C900" s="1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 x14ac:dyDescent="0.3">
      <c r="A901" s="1"/>
      <c r="B901" s="1"/>
      <c r="C901" s="1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 x14ac:dyDescent="0.3">
      <c r="A902" s="1"/>
      <c r="B902" s="1"/>
      <c r="C902" s="1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 x14ac:dyDescent="0.3">
      <c r="A903" s="1"/>
      <c r="B903" s="1"/>
      <c r="C903" s="1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 x14ac:dyDescent="0.3">
      <c r="A904" s="1"/>
      <c r="B904" s="1"/>
      <c r="C904" s="1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 x14ac:dyDescent="0.3">
      <c r="A905" s="1"/>
      <c r="B905" s="1"/>
      <c r="C905" s="1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 x14ac:dyDescent="0.3">
      <c r="A906" s="1"/>
      <c r="B906" s="1"/>
      <c r="C906" s="1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 x14ac:dyDescent="0.3">
      <c r="A907" s="1"/>
      <c r="B907" s="1"/>
      <c r="C907" s="1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 x14ac:dyDescent="0.3">
      <c r="A908" s="1"/>
      <c r="B908" s="1"/>
      <c r="C908" s="1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 x14ac:dyDescent="0.3">
      <c r="A909" s="1"/>
      <c r="B909" s="1"/>
      <c r="C909" s="1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 x14ac:dyDescent="0.3">
      <c r="A910" s="1"/>
      <c r="B910" s="1"/>
      <c r="C910" s="1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 x14ac:dyDescent="0.3">
      <c r="A911" s="1"/>
      <c r="B911" s="1"/>
      <c r="C911" s="1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 x14ac:dyDescent="0.3">
      <c r="A912" s="1"/>
      <c r="B912" s="1"/>
      <c r="C912" s="1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 x14ac:dyDescent="0.3">
      <c r="A913" s="1"/>
      <c r="B913" s="1"/>
      <c r="C913" s="1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 x14ac:dyDescent="0.3">
      <c r="A914" s="1"/>
      <c r="B914" s="1"/>
      <c r="C914" s="1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 x14ac:dyDescent="0.3">
      <c r="A915" s="1"/>
      <c r="B915" s="1"/>
      <c r="C915" s="1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 x14ac:dyDescent="0.3">
      <c r="A916" s="1"/>
      <c r="B916" s="1"/>
      <c r="C916" s="1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 x14ac:dyDescent="0.3">
      <c r="A917" s="1"/>
      <c r="B917" s="1"/>
      <c r="C917" s="1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 x14ac:dyDescent="0.3">
      <c r="A918" s="1"/>
      <c r="B918" s="1"/>
      <c r="C918" s="1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 x14ac:dyDescent="0.3">
      <c r="A919" s="1"/>
      <c r="B919" s="1"/>
      <c r="C919" s="1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 x14ac:dyDescent="0.3">
      <c r="A920" s="1"/>
      <c r="B920" s="1"/>
      <c r="C920" s="1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 x14ac:dyDescent="0.3">
      <c r="A921" s="1"/>
      <c r="B921" s="1"/>
      <c r="C921" s="1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 x14ac:dyDescent="0.3">
      <c r="A922" s="1"/>
      <c r="B922" s="1"/>
      <c r="C922" s="1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 x14ac:dyDescent="0.3">
      <c r="A923" s="1"/>
      <c r="B923" s="1"/>
      <c r="C923" s="1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 x14ac:dyDescent="0.3">
      <c r="A924" s="1"/>
      <c r="B924" s="1"/>
      <c r="C924" s="1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 x14ac:dyDescent="0.3">
      <c r="A925" s="1"/>
      <c r="B925" s="1"/>
      <c r="C925" s="1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 x14ac:dyDescent="0.3">
      <c r="A926" s="1"/>
      <c r="B926" s="1"/>
      <c r="C926" s="1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 x14ac:dyDescent="0.3">
      <c r="A927" s="1"/>
      <c r="B927" s="1"/>
      <c r="C927" s="1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 x14ac:dyDescent="0.3">
      <c r="A928" s="1"/>
      <c r="B928" s="1"/>
      <c r="C928" s="1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 x14ac:dyDescent="0.3">
      <c r="A929" s="1"/>
      <c r="B929" s="1"/>
      <c r="C929" s="1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 x14ac:dyDescent="0.3">
      <c r="A930" s="1"/>
      <c r="B930" s="1"/>
      <c r="C930" s="1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 x14ac:dyDescent="0.3">
      <c r="A931" s="1"/>
      <c r="B931" s="1"/>
      <c r="C931" s="1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 x14ac:dyDescent="0.3">
      <c r="A932" s="1"/>
      <c r="B932" s="1"/>
      <c r="C932" s="1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 x14ac:dyDescent="0.3">
      <c r="A933" s="1"/>
      <c r="B933" s="1"/>
      <c r="C933" s="1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 x14ac:dyDescent="0.3">
      <c r="A934" s="1"/>
      <c r="B934" s="1"/>
      <c r="C934" s="1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 x14ac:dyDescent="0.3">
      <c r="A935" s="1"/>
      <c r="B935" s="1"/>
      <c r="C935" s="1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 x14ac:dyDescent="0.3">
      <c r="A936" s="1"/>
      <c r="B936" s="1"/>
      <c r="C936" s="1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 x14ac:dyDescent="0.3">
      <c r="A937" s="1"/>
      <c r="B937" s="1"/>
      <c r="C937" s="1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 x14ac:dyDescent="0.3">
      <c r="A938" s="1"/>
      <c r="B938" s="1"/>
      <c r="C938" s="1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 x14ac:dyDescent="0.3">
      <c r="A939" s="1"/>
      <c r="B939" s="1"/>
      <c r="C939" s="1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 x14ac:dyDescent="0.3">
      <c r="A940" s="1"/>
      <c r="B940" s="1"/>
      <c r="C940" s="1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 x14ac:dyDescent="0.3">
      <c r="A941" s="1"/>
      <c r="B941" s="1"/>
      <c r="C941" s="1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 x14ac:dyDescent="0.3">
      <c r="A942" s="1"/>
      <c r="B942" s="1"/>
      <c r="C942" s="1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 x14ac:dyDescent="0.3">
      <c r="A943" s="1"/>
      <c r="B943" s="1"/>
      <c r="C943" s="1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 x14ac:dyDescent="0.3">
      <c r="A944" s="1"/>
      <c r="B944" s="1"/>
      <c r="C944" s="1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 x14ac:dyDescent="0.3">
      <c r="A945" s="1"/>
      <c r="B945" s="1"/>
      <c r="C945" s="1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 x14ac:dyDescent="0.3">
      <c r="A946" s="1"/>
      <c r="B946" s="1"/>
      <c r="C946" s="1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 x14ac:dyDescent="0.3">
      <c r="A947" s="1"/>
      <c r="B947" s="1"/>
      <c r="C947" s="1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 x14ac:dyDescent="0.3">
      <c r="A948" s="1"/>
      <c r="B948" s="1"/>
      <c r="C948" s="1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 x14ac:dyDescent="0.3">
      <c r="A949" s="1"/>
      <c r="B949" s="1"/>
      <c r="C949" s="1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 x14ac:dyDescent="0.3">
      <c r="A950" s="1"/>
      <c r="B950" s="1"/>
      <c r="C950" s="1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 x14ac:dyDescent="0.3">
      <c r="A951" s="1"/>
      <c r="B951" s="1"/>
      <c r="C951" s="1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 x14ac:dyDescent="0.3">
      <c r="A952" s="1"/>
      <c r="B952" s="1"/>
      <c r="C952" s="1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 x14ac:dyDescent="0.3">
      <c r="A953" s="1"/>
      <c r="B953" s="1"/>
      <c r="C953" s="1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 x14ac:dyDescent="0.3">
      <c r="A954" s="1"/>
      <c r="B954" s="1"/>
      <c r="C954" s="1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 x14ac:dyDescent="0.3">
      <c r="A955" s="1"/>
      <c r="B955" s="1"/>
      <c r="C955" s="1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 x14ac:dyDescent="0.3">
      <c r="A956" s="1"/>
      <c r="B956" s="1"/>
      <c r="C956" s="1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 x14ac:dyDescent="0.3">
      <c r="A957" s="1"/>
      <c r="B957" s="1"/>
      <c r="C957" s="1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 x14ac:dyDescent="0.3">
      <c r="A958" s="1"/>
      <c r="B958" s="1"/>
      <c r="C958" s="1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 x14ac:dyDescent="0.3">
      <c r="A959" s="1"/>
      <c r="B959" s="1"/>
      <c r="C959" s="1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 x14ac:dyDescent="0.3">
      <c r="A960" s="1"/>
      <c r="B960" s="1"/>
      <c r="C960" s="1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 x14ac:dyDescent="0.3">
      <c r="A961" s="1"/>
      <c r="B961" s="1"/>
      <c r="C961" s="1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 x14ac:dyDescent="0.3">
      <c r="A962" s="1"/>
      <c r="B962" s="1"/>
      <c r="C962" s="1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 x14ac:dyDescent="0.3">
      <c r="A963" s="1"/>
      <c r="B963" s="1"/>
      <c r="C963" s="1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 x14ac:dyDescent="0.3">
      <c r="A964" s="1"/>
      <c r="B964" s="1"/>
      <c r="C964" s="1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 x14ac:dyDescent="0.3">
      <c r="A965" s="1"/>
      <c r="B965" s="1"/>
      <c r="C965" s="1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 x14ac:dyDescent="0.3">
      <c r="A966" s="1"/>
      <c r="B966" s="1"/>
      <c r="C966" s="1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 x14ac:dyDescent="0.3">
      <c r="A967" s="1"/>
      <c r="B967" s="1"/>
      <c r="C967" s="1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 x14ac:dyDescent="0.3">
      <c r="A968" s="1"/>
      <c r="B968" s="1"/>
      <c r="C968" s="1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 x14ac:dyDescent="0.3">
      <c r="A969" s="1"/>
      <c r="B969" s="1"/>
      <c r="C969" s="1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 x14ac:dyDescent="0.3">
      <c r="A970" s="1"/>
      <c r="B970" s="1"/>
      <c r="C970" s="1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 x14ac:dyDescent="0.3">
      <c r="A971" s="1"/>
      <c r="B971" s="1"/>
      <c r="C971" s="1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 x14ac:dyDescent="0.3">
      <c r="A972" s="1"/>
      <c r="B972" s="1"/>
      <c r="C972" s="1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 x14ac:dyDescent="0.3">
      <c r="A973" s="1"/>
      <c r="B973" s="1"/>
      <c r="C973" s="1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 x14ac:dyDescent="0.3">
      <c r="A974" s="1"/>
      <c r="B974" s="1"/>
      <c r="C974" s="1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 x14ac:dyDescent="0.3">
      <c r="A975" s="1"/>
      <c r="B975" s="1"/>
      <c r="C975" s="1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 x14ac:dyDescent="0.3">
      <c r="A976" s="1"/>
      <c r="B976" s="1"/>
      <c r="C976" s="1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 x14ac:dyDescent="0.3">
      <c r="A977" s="1"/>
      <c r="B977" s="1"/>
      <c r="C977" s="1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 x14ac:dyDescent="0.3">
      <c r="A978" s="1"/>
      <c r="B978" s="1"/>
      <c r="C978" s="1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 x14ac:dyDescent="0.3">
      <c r="A979" s="1"/>
      <c r="B979" s="1"/>
      <c r="C979" s="1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 x14ac:dyDescent="0.3">
      <c r="A980" s="1"/>
      <c r="B980" s="1"/>
      <c r="C980" s="1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 x14ac:dyDescent="0.3">
      <c r="A981" s="1"/>
      <c r="B981" s="1"/>
      <c r="C981" s="1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 x14ac:dyDescent="0.3">
      <c r="A982" s="1"/>
      <c r="B982" s="1"/>
      <c r="C982" s="1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 x14ac:dyDescent="0.3">
      <c r="A983" s="1"/>
      <c r="B983" s="1"/>
      <c r="C983" s="1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 x14ac:dyDescent="0.3">
      <c r="A984" s="1"/>
      <c r="B984" s="1"/>
      <c r="C984" s="1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 x14ac:dyDescent="0.3">
      <c r="A985" s="1"/>
      <c r="B985" s="1"/>
      <c r="C985" s="1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 x14ac:dyDescent="0.3">
      <c r="A986" s="1"/>
      <c r="B986" s="1"/>
      <c r="C986" s="1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 x14ac:dyDescent="0.3">
      <c r="A987" s="1"/>
      <c r="B987" s="1"/>
      <c r="C987" s="1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 x14ac:dyDescent="0.3">
      <c r="A988" s="1"/>
      <c r="B988" s="1"/>
      <c r="C988" s="1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 x14ac:dyDescent="0.3">
      <c r="A989" s="1"/>
      <c r="B989" s="1"/>
      <c r="C989" s="1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 x14ac:dyDescent="0.3">
      <c r="A990" s="1"/>
      <c r="B990" s="1"/>
      <c r="C990" s="1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 x14ac:dyDescent="0.3">
      <c r="A991" s="1"/>
      <c r="B991" s="1"/>
      <c r="C991" s="1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 x14ac:dyDescent="0.3">
      <c r="A992" s="1"/>
      <c r="B992" s="1"/>
      <c r="C992" s="1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" x14ac:dyDescent="0.3">
      <c r="A993" s="1"/>
      <c r="B993" s="1"/>
      <c r="C993" s="1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" x14ac:dyDescent="0.3">
      <c r="A994" s="1"/>
      <c r="B994" s="1"/>
      <c r="C994" s="1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" x14ac:dyDescent="0.3">
      <c r="A995" s="1"/>
      <c r="B995" s="1"/>
      <c r="C995" s="1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" x14ac:dyDescent="0.3">
      <c r="A996" s="1"/>
      <c r="B996" s="1"/>
      <c r="C996" s="1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" x14ac:dyDescent="0.3">
      <c r="A997" s="1"/>
      <c r="B997" s="1"/>
      <c r="C997" s="1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" x14ac:dyDescent="0.3">
      <c r="A998" s="1"/>
      <c r="B998" s="1"/>
      <c r="C998" s="1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" x14ac:dyDescent="0.3">
      <c r="A999" s="1"/>
      <c r="B999" s="1"/>
      <c r="C999" s="1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" x14ac:dyDescent="0.3">
      <c r="A1000" s="1"/>
      <c r="B1000" s="1"/>
      <c r="C1000" s="1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" x14ac:dyDescent="0.3">
      <c r="A1001" s="1"/>
      <c r="B1001" s="1"/>
      <c r="C1001" s="15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" x14ac:dyDescent="0.3">
      <c r="A1002" s="1"/>
      <c r="B1002" s="1"/>
      <c r="C1002" s="15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" x14ac:dyDescent="0.3">
      <c r="A1003" s="1"/>
      <c r="B1003" s="1"/>
      <c r="C1003" s="15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" x14ac:dyDescent="0.3">
      <c r="A1004" s="1"/>
      <c r="B1004" s="1"/>
      <c r="C1004" s="15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" x14ac:dyDescent="0.3">
      <c r="A1005" s="1"/>
      <c r="B1005" s="1"/>
      <c r="C1005" s="15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</sheetData>
  <mergeCells count="13">
    <mergeCell ref="A1:C1"/>
    <mergeCell ref="A13:F13"/>
    <mergeCell ref="A30:E30"/>
    <mergeCell ref="A31:E32"/>
    <mergeCell ref="E22:F22"/>
    <mergeCell ref="E23:F23"/>
    <mergeCell ref="A21:F21"/>
    <mergeCell ref="E29:F29"/>
    <mergeCell ref="E28:F28"/>
    <mergeCell ref="E24:F24"/>
    <mergeCell ref="E25:F25"/>
    <mergeCell ref="E26:F26"/>
    <mergeCell ref="E27: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77" zoomScale="76" workbookViewId="0">
      <selection activeCell="E75" sqref="E75"/>
    </sheetView>
  </sheetViews>
  <sheetFormatPr defaultColWidth="12.6328125" defaultRowHeight="12.5" x14ac:dyDescent="0.25"/>
  <cols>
    <col min="1" max="1" width="28" customWidth="1"/>
    <col min="2" max="6" width="22" customWidth="1"/>
    <col min="7" max="7" width="12.7265625" customWidth="1"/>
    <col min="8" max="8" width="15.26953125" customWidth="1"/>
    <col min="9" max="9" width="13.54296875" bestFit="1" customWidth="1"/>
    <col min="11" max="11" width="29.7265625" customWidth="1"/>
  </cols>
  <sheetData>
    <row r="1" spans="1:26" ht="15" x14ac:dyDescent="0.3">
      <c r="A1" s="95" t="s">
        <v>61</v>
      </c>
      <c r="B1" s="96"/>
      <c r="C1" s="96"/>
      <c r="D1" s="96"/>
      <c r="E1" s="96"/>
      <c r="F1" s="96"/>
      <c r="G1" s="96"/>
      <c r="H1" s="96"/>
      <c r="I1" s="96"/>
      <c r="J1" s="96"/>
      <c r="K1" s="9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5" t="s">
        <v>62</v>
      </c>
      <c r="B2" s="5">
        <v>2023</v>
      </c>
      <c r="C2" s="5">
        <v>2024</v>
      </c>
      <c r="D2" s="5">
        <v>2025</v>
      </c>
      <c r="E2" s="5">
        <v>2026</v>
      </c>
      <c r="F2" s="5">
        <v>2027</v>
      </c>
      <c r="G2" s="5">
        <v>2028</v>
      </c>
      <c r="H2" s="5">
        <v>2029</v>
      </c>
      <c r="I2" s="5">
        <v>2030</v>
      </c>
      <c r="J2" s="5" t="s">
        <v>63</v>
      </c>
      <c r="K2" s="5" t="s">
        <v>64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" x14ac:dyDescent="0.3">
      <c r="A3" s="9" t="s">
        <v>27</v>
      </c>
      <c r="B3" s="14">
        <f>IF(B$2-2022&lt;VALUE(LEFT('DATA &amp; ASSUMPTIONS'!$B15,1)),1000*'DATA &amp; ASSUMPTIONS'!$C15,IF(B$2-2022=VALUE(LEFT('DATA &amp; ASSUMPTIONS'!$B15,1)),1000*(1+'DATA &amp; ASSUMPTIONS'!$C15),0))</f>
        <v>1000</v>
      </c>
      <c r="C3" s="14">
        <f>IF(C$2-2022&lt;VALUE(LEFT('DATA &amp; ASSUMPTIONS'!$B15,1)),1000*'DATA &amp; ASSUMPTIONS'!$C15,IF(C$2-2022=VALUE(LEFT('DATA &amp; ASSUMPTIONS'!$B15,1)),1000*(1+'DATA &amp; ASSUMPTIONS'!$C15),0))</f>
        <v>0</v>
      </c>
      <c r="D3" s="14">
        <f>IF(D$2-2022&lt;VALUE(LEFT('DATA &amp; ASSUMPTIONS'!$B15,1)),1000*'DATA &amp; ASSUMPTIONS'!$C15,IF(D$2-2022=VALUE(LEFT('DATA &amp; ASSUMPTIONS'!$B15,1)),1000*(1+'DATA &amp; ASSUMPTIONS'!$C15),0))</f>
        <v>0</v>
      </c>
      <c r="E3" s="14">
        <f>IF(E$2-2022&lt;VALUE(LEFT('DATA &amp; ASSUMPTIONS'!$B15,1)),1000*'DATA &amp; ASSUMPTIONS'!$C15,IF(E$2-2022=VALUE(LEFT('DATA &amp; ASSUMPTIONS'!$B15,1)),1000*(1+'DATA &amp; ASSUMPTIONS'!$C15),0))</f>
        <v>0</v>
      </c>
      <c r="F3" s="14">
        <f>IF(F$2-2022&lt;VALUE(LEFT('DATA &amp; ASSUMPTIONS'!$B15,1)),1000*'DATA &amp; ASSUMPTIONS'!$C15,IF(F$2-2022=VALUE(LEFT('DATA &amp; ASSUMPTIONS'!$B15,1)),1000*(1+'DATA &amp; ASSUMPTIONS'!$C15),0))</f>
        <v>0</v>
      </c>
      <c r="G3" s="14">
        <f>IF(G$2-2022&lt;VALUE(LEFT('DATA &amp; ASSUMPTIONS'!$B15,1)),1000*'DATA &amp; ASSUMPTIONS'!$C15,IF(G$2-2022=VALUE(LEFT('DATA &amp; ASSUMPTIONS'!$B15,1)),1000*(1+'DATA &amp; ASSUMPTIONS'!$C15),0))</f>
        <v>0</v>
      </c>
      <c r="H3" s="14">
        <f>IF(H$2-2022&lt;VALUE(LEFT('DATA &amp; ASSUMPTIONS'!$B15,1)),1000*'DATA &amp; ASSUMPTIONS'!$C15,IF(H$2-2022=VALUE(LEFT('DATA &amp; ASSUMPTIONS'!$B15,1)),1000*(1+'DATA &amp; ASSUMPTIONS'!$C15),0))</f>
        <v>0</v>
      </c>
      <c r="I3" s="14">
        <f>IF(I$2-2022&lt;VALUE(LEFT('DATA &amp; ASSUMPTIONS'!$B15,1)),1000*'DATA &amp; ASSUMPTIONS'!$C15,IF(I$2-2022=VALUE(LEFT('DATA &amp; ASSUMPTIONS'!$B15,1)),1000*(1+'DATA &amp; ASSUMPTIONS'!$C15),0))</f>
        <v>0</v>
      </c>
      <c r="J3" s="14">
        <f t="shared" ref="J3:J7" si="0">SUM(B3:I3)</f>
        <v>1000</v>
      </c>
      <c r="K3" s="4" t="s">
        <v>65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3">
      <c r="A4" s="9" t="s">
        <v>29</v>
      </c>
      <c r="B4" s="14">
        <f>IF(B$2-2022&lt;VALUE(LEFT('DATA &amp; ASSUMPTIONS'!$B16,1)),1000*'DATA &amp; ASSUMPTIONS'!$C16,IF(B$2-2022=VALUE(LEFT('DATA &amp; ASSUMPTIONS'!$B16,1)),1000*(1+'DATA &amp; ASSUMPTIONS'!$C16),0))</f>
        <v>0</v>
      </c>
      <c r="C4" s="14">
        <f>IF(C$2-2022&lt;VALUE(LEFT('DATA &amp; ASSUMPTIONS'!$B16,1)),1000*'DATA &amp; ASSUMPTIONS'!$C16,IF(C$2-2022=VALUE(LEFT('DATA &amp; ASSUMPTIONS'!$B16,1)),1000*(1+'DATA &amp; ASSUMPTIONS'!$C16),0))</f>
        <v>1000</v>
      </c>
      <c r="D4" s="14">
        <f>IF(D$2-2022&lt;VALUE(LEFT('DATA &amp; ASSUMPTIONS'!$B16,1)),1000*'DATA &amp; ASSUMPTIONS'!$C16,IF(D$2-2022=VALUE(LEFT('DATA &amp; ASSUMPTIONS'!$B16,1)),1000*(1+'DATA &amp; ASSUMPTIONS'!$C16),0))</f>
        <v>0</v>
      </c>
      <c r="E4" s="14">
        <f>IF(E$2-2022&lt;VALUE(LEFT('DATA &amp; ASSUMPTIONS'!$B16,1)),1000*'DATA &amp; ASSUMPTIONS'!$C16,IF(E$2-2022=VALUE(LEFT('DATA &amp; ASSUMPTIONS'!$B16,1)),1000*(1+'DATA &amp; ASSUMPTIONS'!$C16),0))</f>
        <v>0</v>
      </c>
      <c r="F4" s="14">
        <f>IF(F$2-2022&lt;VALUE(LEFT('DATA &amp; ASSUMPTIONS'!$B16,1)),1000*'DATA &amp; ASSUMPTIONS'!$C16,IF(F$2-2022=VALUE(LEFT('DATA &amp; ASSUMPTIONS'!$B16,1)),1000*(1+'DATA &amp; ASSUMPTIONS'!$C16),0))</f>
        <v>0</v>
      </c>
      <c r="G4" s="14">
        <f>IF(G$2-2022&lt;VALUE(LEFT('DATA &amp; ASSUMPTIONS'!$B16,1)),1000*'DATA &amp; ASSUMPTIONS'!$C16,IF(G$2-2022=VALUE(LEFT('DATA &amp; ASSUMPTIONS'!$B16,1)),1000*(1+'DATA &amp; ASSUMPTIONS'!$C16),0))</f>
        <v>0</v>
      </c>
      <c r="H4" s="14">
        <f>IF(H$2-2022&lt;VALUE(LEFT('DATA &amp; ASSUMPTIONS'!$B16,1)),1000*'DATA &amp; ASSUMPTIONS'!$C16,IF(H$2-2022=VALUE(LEFT('DATA &amp; ASSUMPTIONS'!$B16,1)),1000*(1+'DATA &amp; ASSUMPTIONS'!$C16),0))</f>
        <v>0</v>
      </c>
      <c r="I4" s="14">
        <f>IF(I$2-2022&lt;VALUE(LEFT('DATA &amp; ASSUMPTIONS'!$B16,1)),1000*'DATA &amp; ASSUMPTIONS'!$C16,IF(I$2-2022=VALUE(LEFT('DATA &amp; ASSUMPTIONS'!$B16,1)),1000*(1+'DATA &amp; ASSUMPTIONS'!$C16),0))</f>
        <v>0</v>
      </c>
      <c r="J4" s="14">
        <f t="shared" si="0"/>
        <v>1000</v>
      </c>
      <c r="K4" s="4" t="s">
        <v>66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3">
      <c r="A5" s="9" t="s">
        <v>30</v>
      </c>
      <c r="B5" s="14">
        <f>IF(B$2-2022&lt;VALUE(LEFT('DATA &amp; ASSUMPTIONS'!$B17,1)),1000*'DATA &amp; ASSUMPTIONS'!$C17,IF(B$2-2022=VALUE(LEFT('DATA &amp; ASSUMPTIONS'!$B17,1)),1000*(1+'DATA &amp; ASSUMPTIONS'!$C17),0))</f>
        <v>40</v>
      </c>
      <c r="C5" s="14">
        <f>IF(C$2-2022&lt;VALUE(LEFT('DATA &amp; ASSUMPTIONS'!$B17,1)),1000*'DATA &amp; ASSUMPTIONS'!$C17,IF(C$2-2022=VALUE(LEFT('DATA &amp; ASSUMPTIONS'!$B17,1)),1000*(1+'DATA &amp; ASSUMPTIONS'!$C17),0))</f>
        <v>40</v>
      </c>
      <c r="D5" s="14">
        <f>IF(D$2-2022&lt;VALUE(LEFT('DATA &amp; ASSUMPTIONS'!$B17,1)),1000*'DATA &amp; ASSUMPTIONS'!$C17,IF(D$2-2022=VALUE(LEFT('DATA &amp; ASSUMPTIONS'!$B17,1)),1000*(1+'DATA &amp; ASSUMPTIONS'!$C17),0))</f>
        <v>1040</v>
      </c>
      <c r="E5" s="14">
        <f>IF(E$2-2022&lt;VALUE(LEFT('DATA &amp; ASSUMPTIONS'!$B17,1)),1000*'DATA &amp; ASSUMPTIONS'!$C17,IF(E$2-2022=VALUE(LEFT('DATA &amp; ASSUMPTIONS'!$B17,1)),1000*(1+'DATA &amp; ASSUMPTIONS'!$C17),0))</f>
        <v>0</v>
      </c>
      <c r="F5" s="14">
        <f>IF(F$2-2022&lt;VALUE(LEFT('DATA &amp; ASSUMPTIONS'!$B17,1)),1000*'DATA &amp; ASSUMPTIONS'!$C17,IF(F$2-2022=VALUE(LEFT('DATA &amp; ASSUMPTIONS'!$B17,1)),1000*(1+'DATA &amp; ASSUMPTIONS'!$C17),0))</f>
        <v>0</v>
      </c>
      <c r="G5" s="14">
        <f>IF(G$2-2022&lt;VALUE(LEFT('DATA &amp; ASSUMPTIONS'!$B17,1)),1000*'DATA &amp; ASSUMPTIONS'!$C17,IF(G$2-2022=VALUE(LEFT('DATA &amp; ASSUMPTIONS'!$B17,1)),1000*(1+'DATA &amp; ASSUMPTIONS'!$C17),0))</f>
        <v>0</v>
      </c>
      <c r="H5" s="14">
        <f>IF(H$2-2022&lt;VALUE(LEFT('DATA &amp; ASSUMPTIONS'!$B17,1)),1000*'DATA &amp; ASSUMPTIONS'!$C17,IF(H$2-2022=VALUE(LEFT('DATA &amp; ASSUMPTIONS'!$B17,1)),1000*(1+'DATA &amp; ASSUMPTIONS'!$C17),0))</f>
        <v>0</v>
      </c>
      <c r="I5" s="14">
        <f>IF(I$2-2022&lt;VALUE(LEFT('DATA &amp; ASSUMPTIONS'!$B17,1)),1000*'DATA &amp; ASSUMPTIONS'!$C17,IF(I$2-2022=VALUE(LEFT('DATA &amp; ASSUMPTIONS'!$B17,1)),1000*(1+'DATA &amp; ASSUMPTIONS'!$C17),0))</f>
        <v>0</v>
      </c>
      <c r="J5" s="14">
        <f t="shared" si="0"/>
        <v>1120</v>
      </c>
      <c r="K5" s="4" t="s">
        <v>67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3">
      <c r="A6" s="9" t="s">
        <v>33</v>
      </c>
      <c r="B6" s="14">
        <f>IF(B$2-2022&lt;VALUE(LEFT('DATA &amp; ASSUMPTIONS'!$B18,1)),1000*'DATA &amp; ASSUMPTIONS'!$C18,IF(B$2-2022=VALUE(LEFT('DATA &amp; ASSUMPTIONS'!$B18,1)),1000*(1+'DATA &amp; ASSUMPTIONS'!$C18),0))</f>
        <v>35</v>
      </c>
      <c r="C6" s="14">
        <f>IF(C$2-2022&lt;VALUE(LEFT('DATA &amp; ASSUMPTIONS'!$B18,1)),1000*'DATA &amp; ASSUMPTIONS'!$C18,IF(C$2-2022=VALUE(LEFT('DATA &amp; ASSUMPTIONS'!$B18,1)),1000*(1+'DATA &amp; ASSUMPTIONS'!$C18),0))</f>
        <v>35</v>
      </c>
      <c r="D6" s="14">
        <f>IF(D$2-2022&lt;VALUE(LEFT('DATA &amp; ASSUMPTIONS'!$B18,1)),1000*'DATA &amp; ASSUMPTIONS'!$C18,IF(D$2-2022=VALUE(LEFT('DATA &amp; ASSUMPTIONS'!$B18,1)),1000*(1+'DATA &amp; ASSUMPTIONS'!$C18),0))</f>
        <v>35</v>
      </c>
      <c r="E6" s="14">
        <f>IF(E$2-2022&lt;VALUE(LEFT('DATA &amp; ASSUMPTIONS'!$B18,1)),1000*'DATA &amp; ASSUMPTIONS'!$C18,IF(E$2-2022=VALUE(LEFT('DATA &amp; ASSUMPTIONS'!$B18,1)),1000*(1+'DATA &amp; ASSUMPTIONS'!$C18),0))</f>
        <v>35</v>
      </c>
      <c r="F6" s="14">
        <f>IF(F$2-2022&lt;VALUE(LEFT('DATA &amp; ASSUMPTIONS'!$B18,1)),1000*'DATA &amp; ASSUMPTIONS'!$C18,IF(F$2-2022=VALUE(LEFT('DATA &amp; ASSUMPTIONS'!$B18,1)),1000*(1+'DATA &amp; ASSUMPTIONS'!$C18),0))</f>
        <v>1035</v>
      </c>
      <c r="G6" s="14">
        <f>IF(G$2-2022&lt;VALUE(LEFT('DATA &amp; ASSUMPTIONS'!$B18,1)),1000*'DATA &amp; ASSUMPTIONS'!$C18,IF(G$2-2022=VALUE(LEFT('DATA &amp; ASSUMPTIONS'!$B18,1)),1000*(1+'DATA &amp; ASSUMPTIONS'!$C18),0))</f>
        <v>0</v>
      </c>
      <c r="H6" s="14">
        <f>IF(H$2-2022&lt;VALUE(LEFT('DATA &amp; ASSUMPTIONS'!$B18,1)),1000*'DATA &amp; ASSUMPTIONS'!$C18,IF(H$2-2022=VALUE(LEFT('DATA &amp; ASSUMPTIONS'!$B18,1)),1000*(1+'DATA &amp; ASSUMPTIONS'!$C18),0))</f>
        <v>0</v>
      </c>
      <c r="I6" s="14">
        <f>IF(I$2-2022&lt;VALUE(LEFT('DATA &amp; ASSUMPTIONS'!$B18,1)),1000*'DATA &amp; ASSUMPTIONS'!$C18,IF(I$2-2022=VALUE(LEFT('DATA &amp; ASSUMPTIONS'!$B18,1)),1000*(1+'DATA &amp; ASSUMPTIONS'!$C18),0))</f>
        <v>0</v>
      </c>
      <c r="J6" s="14">
        <f t="shared" si="0"/>
        <v>1175</v>
      </c>
      <c r="K6" s="4" t="s">
        <v>68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" x14ac:dyDescent="0.3">
      <c r="A7" s="9" t="s">
        <v>35</v>
      </c>
      <c r="B7" s="14">
        <f>IF(B$2-2022&lt;VALUE(LEFT('DATA &amp; ASSUMPTIONS'!$B19,1)),1000*'DATA &amp; ASSUMPTIONS'!$C19,IF(B$2-2022=VALUE(LEFT('DATA &amp; ASSUMPTIONS'!$B19,1)),1000*(1+'DATA &amp; ASSUMPTIONS'!$C19),0))</f>
        <v>45</v>
      </c>
      <c r="C7" s="14">
        <f>IF(C$2-2022&lt;VALUE(LEFT('DATA &amp; ASSUMPTIONS'!$B19,1)),1000*'DATA &amp; ASSUMPTIONS'!$C19,IF(C$2-2022=VALUE(LEFT('DATA &amp; ASSUMPTIONS'!$B19,1)),1000*(1+'DATA &amp; ASSUMPTIONS'!$C19),0))</f>
        <v>45</v>
      </c>
      <c r="D7" s="14">
        <f>IF(D$2-2022&lt;VALUE(LEFT('DATA &amp; ASSUMPTIONS'!$B19,1)),1000*'DATA &amp; ASSUMPTIONS'!$C19,IF(D$2-2022=VALUE(LEFT('DATA &amp; ASSUMPTIONS'!$B19,1)),1000*(1+'DATA &amp; ASSUMPTIONS'!$C19),0))</f>
        <v>45</v>
      </c>
      <c r="E7" s="14">
        <f>IF(E$2-2022&lt;VALUE(LEFT('DATA &amp; ASSUMPTIONS'!$B19,1)),1000*'DATA &amp; ASSUMPTIONS'!$C19,IF(E$2-2022=VALUE(LEFT('DATA &amp; ASSUMPTIONS'!$B19,1)),1000*(1+'DATA &amp; ASSUMPTIONS'!$C19),0))</f>
        <v>45</v>
      </c>
      <c r="F7" s="14">
        <f>IF(F$2-2022&lt;VALUE(LEFT('DATA &amp; ASSUMPTIONS'!$B19,1)),1000*'DATA &amp; ASSUMPTIONS'!$C19,IF(F$2-2022=VALUE(LEFT('DATA &amp; ASSUMPTIONS'!$B19,1)),1000*(1+'DATA &amp; ASSUMPTIONS'!$C19),0))</f>
        <v>45</v>
      </c>
      <c r="G7" s="14">
        <f>IF(G$2-2022&lt;VALUE(LEFT('DATA &amp; ASSUMPTIONS'!$B19,1)),1000*'DATA &amp; ASSUMPTIONS'!$C19,IF(G$2-2022=VALUE(LEFT('DATA &amp; ASSUMPTIONS'!$B19,1)),1000*(1+'DATA &amp; ASSUMPTIONS'!$C19),0))</f>
        <v>45</v>
      </c>
      <c r="H7" s="14">
        <f>IF(H$2-2022&lt;VALUE(LEFT('DATA &amp; ASSUMPTIONS'!$B19,1)),1000*'DATA &amp; ASSUMPTIONS'!$C19,IF(H$2-2022=VALUE(LEFT('DATA &amp; ASSUMPTIONS'!$B19,1)),1000*(1+'DATA &amp; ASSUMPTIONS'!$C19),0))</f>
        <v>45</v>
      </c>
      <c r="I7" s="14">
        <f>IF(I$2-2022&lt;VALUE(LEFT('DATA &amp; ASSUMPTIONS'!$B19,1)),1000*'DATA &amp; ASSUMPTIONS'!$C19,IF(I$2-2022=VALUE(LEFT('DATA &amp; ASSUMPTIONS'!$B19,1)),1000*(1+'DATA &amp; ASSUMPTIONS'!$C19),0))</f>
        <v>1045</v>
      </c>
      <c r="J7" s="14">
        <f t="shared" si="0"/>
        <v>1360</v>
      </c>
      <c r="K7" s="4" t="s">
        <v>69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3">
      <c r="A10" s="95" t="s">
        <v>70</v>
      </c>
      <c r="B10" s="96"/>
      <c r="C10" s="96"/>
      <c r="D10" s="96"/>
      <c r="E10" s="96"/>
      <c r="F10" s="96"/>
      <c r="G10" s="96"/>
      <c r="H10" s="9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 x14ac:dyDescent="0.3">
      <c r="A11" s="5" t="s">
        <v>62</v>
      </c>
      <c r="B11" s="5" t="s">
        <v>71</v>
      </c>
      <c r="C11" s="5" t="s">
        <v>72</v>
      </c>
      <c r="D11" s="5" t="s">
        <v>73</v>
      </c>
      <c r="E11" s="5" t="s">
        <v>22</v>
      </c>
      <c r="F11" s="5" t="s">
        <v>74</v>
      </c>
      <c r="G11" s="5" t="s">
        <v>75</v>
      </c>
      <c r="H11" s="5" t="s">
        <v>76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" x14ac:dyDescent="0.3">
      <c r="A12" s="9" t="s">
        <v>27</v>
      </c>
      <c r="B12" s="26">
        <f>'DATA &amp; ASSUMPTIONS'!E15</f>
        <v>958.77</v>
      </c>
      <c r="C12" s="26">
        <v>1000</v>
      </c>
      <c r="D12" s="42">
        <f>'DATA &amp; ASSUMPTIONS'!C15</f>
        <v>0</v>
      </c>
      <c r="E12" s="12">
        <f>'DATA &amp; ASSUMPTIONS'!B15</f>
        <v>1</v>
      </c>
      <c r="F12" s="14">
        <f t="shared" ref="F12:F16" si="1">C12*D12</f>
        <v>0</v>
      </c>
      <c r="G12" s="62">
        <f>RATE(E12,F12,-B12,C12)</f>
        <v>4.3003014278711317E-2</v>
      </c>
      <c r="H12" s="63">
        <f t="shared" ref="H12:H16" si="2">B3/(1+G12)^1+C3/(1+G12)^2+D3/(1+G12)^3+E3/(1+G12)^4+F3/(1+G12)^5+G3/(1+G12)^6+H3/(1+G12)^7+I3/(1+G12)^8</f>
        <v>958.77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" x14ac:dyDescent="0.3">
      <c r="A13" s="9" t="s">
        <v>29</v>
      </c>
      <c r="B13" s="26">
        <f>'DATA &amp; ASSUMPTIONS'!E16</f>
        <v>922.78</v>
      </c>
      <c r="C13" s="26">
        <v>1000</v>
      </c>
      <c r="D13" s="42">
        <f>'DATA &amp; ASSUMPTIONS'!C16</f>
        <v>0</v>
      </c>
      <c r="E13" s="12">
        <f>'DATA &amp; ASSUMPTIONS'!B16</f>
        <v>2</v>
      </c>
      <c r="F13" s="14">
        <f t="shared" si="1"/>
        <v>0</v>
      </c>
      <c r="G13" s="62">
        <f>RATE(E13,F13,-B13,C13)</f>
        <v>4.1000440770841182E-2</v>
      </c>
      <c r="H13" s="63">
        <f t="shared" si="2"/>
        <v>922.77999999866836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" x14ac:dyDescent="0.3">
      <c r="A14" s="9" t="s">
        <v>30</v>
      </c>
      <c r="B14" s="26">
        <f>'DATA &amp; ASSUMPTIONS'!E17</f>
        <v>1002.49</v>
      </c>
      <c r="C14" s="26">
        <v>1000</v>
      </c>
      <c r="D14" s="42">
        <f>'DATA &amp; ASSUMPTIONS'!C17</f>
        <v>0.04</v>
      </c>
      <c r="E14" s="12">
        <f>'DATA &amp; ASSUMPTIONS'!B17</f>
        <v>3</v>
      </c>
      <c r="F14" s="14">
        <f t="shared" si="1"/>
        <v>40</v>
      </c>
      <c r="G14" s="62">
        <f>RATE(E14,F14,-B14,C14)</f>
        <v>3.9104257135426833E-2</v>
      </c>
      <c r="H14" s="63">
        <f t="shared" si="2"/>
        <v>1002.4900000000001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" x14ac:dyDescent="0.3">
      <c r="A15" s="9" t="s">
        <v>33</v>
      </c>
      <c r="B15" s="26">
        <f>'DATA &amp; ASSUMPTIONS'!E18</f>
        <v>986.07</v>
      </c>
      <c r="C15" s="26">
        <v>1000</v>
      </c>
      <c r="D15" s="22">
        <f>'DATA &amp; ASSUMPTIONS'!C18</f>
        <v>3.5000000000000003E-2</v>
      </c>
      <c r="E15" s="12">
        <f>'DATA &amp; ASSUMPTIONS'!B18</f>
        <v>5</v>
      </c>
      <c r="F15" s="14">
        <f t="shared" si="1"/>
        <v>35</v>
      </c>
      <c r="G15" s="62">
        <f>RATE(E15,F15,-B15,C15)</f>
        <v>3.8112482564864839E-2</v>
      </c>
      <c r="H15" s="63">
        <f t="shared" si="2"/>
        <v>986.06999999830782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" x14ac:dyDescent="0.3">
      <c r="A16" s="9" t="s">
        <v>35</v>
      </c>
      <c r="B16" s="26">
        <f>'DATA &amp; ASSUMPTIONS'!E19</f>
        <v>1040.71</v>
      </c>
      <c r="C16" s="26">
        <v>1000</v>
      </c>
      <c r="D16" s="22">
        <f>'DATA &amp; ASSUMPTIONS'!C19</f>
        <v>4.4999999999999998E-2</v>
      </c>
      <c r="E16" s="12">
        <f>'DATA &amp; ASSUMPTIONS'!B19</f>
        <v>8</v>
      </c>
      <c r="F16" s="14">
        <f t="shared" si="1"/>
        <v>45</v>
      </c>
      <c r="G16" s="62">
        <f>RATE(E16,F16,-B16,C16)</f>
        <v>3.8978900609643326E-2</v>
      </c>
      <c r="H16" s="63">
        <f t="shared" si="2"/>
        <v>1040.7099999999971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x14ac:dyDescent="0.3">
      <c r="A19" s="98" t="s">
        <v>206</v>
      </c>
      <c r="B19" s="96"/>
      <c r="C19" s="96"/>
      <c r="D19" s="9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" x14ac:dyDescent="0.3">
      <c r="A20" s="43" t="s">
        <v>77</v>
      </c>
      <c r="B20" s="43" t="s">
        <v>78</v>
      </c>
      <c r="C20" s="99" t="s">
        <v>207</v>
      </c>
      <c r="D20" s="9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" x14ac:dyDescent="0.3">
      <c r="A21" s="44">
        <v>1</v>
      </c>
      <c r="B21" s="64">
        <f>$C$12/$B$12-1</f>
        <v>4.3003014278711227E-2</v>
      </c>
      <c r="C21" s="100" t="s">
        <v>233</v>
      </c>
      <c r="D21" s="9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" x14ac:dyDescent="0.3">
      <c r="A22" s="44">
        <v>2</v>
      </c>
      <c r="B22" s="64">
        <f>($C$13/$B$13)^(1/2)-1</f>
        <v>4.1000440770089908E-2</v>
      </c>
      <c r="C22" s="100" t="s">
        <v>234</v>
      </c>
      <c r="D22" s="9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" x14ac:dyDescent="0.3">
      <c r="A23" s="44">
        <v>3</v>
      </c>
      <c r="B23" s="64">
        <f>((($C$14+$F$14)/($B$14-$F$14/(1+$B$21)-$F$14/(1+$B$22)^2))^(1/3))-1</f>
        <v>3.9000126677531055E-2</v>
      </c>
      <c r="C23" s="100" t="s">
        <v>208</v>
      </c>
      <c r="D23" s="9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" x14ac:dyDescent="0.3">
      <c r="A24" s="44">
        <v>4</v>
      </c>
      <c r="B24" s="64">
        <f>$B$23</f>
        <v>3.9000126677531055E-2</v>
      </c>
      <c r="C24" s="100" t="s">
        <v>235</v>
      </c>
      <c r="D24" s="9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" x14ac:dyDescent="0.3">
      <c r="A25" s="44">
        <v>5</v>
      </c>
      <c r="B25" s="64">
        <f>((($C$15+$F$15)/($B$15-$F$15/(1+$B$21)-$F$15/(1+$B$22)^2-$F$15/(1+$B$23)^3-$F$15/(1+$B$24)^4))^(1/5))-1</f>
        <v>3.7986521426888853E-2</v>
      </c>
      <c r="C25" s="100" t="s">
        <v>209</v>
      </c>
      <c r="D25" s="9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3">
      <c r="A28" s="98" t="s">
        <v>79</v>
      </c>
      <c r="B28" s="96"/>
      <c r="C28" s="96"/>
      <c r="D28" s="96"/>
      <c r="E28" s="96"/>
      <c r="F28" s="96"/>
      <c r="G28" s="96"/>
      <c r="H28" s="96"/>
      <c r="I28" s="96"/>
      <c r="J28" s="97"/>
      <c r="K28" s="4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x14ac:dyDescent="0.3">
      <c r="A29" s="101" t="s">
        <v>80</v>
      </c>
      <c r="B29" s="96"/>
      <c r="C29" s="96"/>
      <c r="D29" s="96"/>
      <c r="E29" s="96"/>
      <c r="F29" s="96"/>
      <c r="G29" s="96"/>
      <c r="H29" s="96"/>
      <c r="I29" s="96"/>
      <c r="J29" s="9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" x14ac:dyDescent="0.3">
      <c r="A30" s="5" t="s">
        <v>81</v>
      </c>
      <c r="B30" s="5" t="s">
        <v>82</v>
      </c>
      <c r="C30" s="5" t="s">
        <v>83</v>
      </c>
      <c r="D30" s="5" t="s">
        <v>84</v>
      </c>
      <c r="E30" s="5" t="s">
        <v>85</v>
      </c>
      <c r="F30" s="5" t="s">
        <v>86</v>
      </c>
      <c r="G30" s="5" t="s">
        <v>87</v>
      </c>
      <c r="H30" s="37" t="s">
        <v>88</v>
      </c>
      <c r="I30" s="37" t="s">
        <v>89</v>
      </c>
      <c r="J30" s="5" t="s">
        <v>90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8" x14ac:dyDescent="0.3">
      <c r="A31" s="4" t="s">
        <v>7</v>
      </c>
      <c r="B31" s="46">
        <f>'DATA &amp; ASSUMPTIONS'!D4</f>
        <v>45657</v>
      </c>
      <c r="C31" s="38" t="s">
        <v>29</v>
      </c>
      <c r="D31" s="26">
        <v>1000</v>
      </c>
      <c r="E31" s="47">
        <f>'DATA &amp; ASSUMPTIONS'!B4/D31</f>
        <v>2400</v>
      </c>
      <c r="F31" s="26">
        <f>'DATA &amp; ASSUMPTIONS'!E16</f>
        <v>922.78</v>
      </c>
      <c r="G31" s="48">
        <f t="shared" ref="G31:G32" si="3">E31*F31</f>
        <v>2214672</v>
      </c>
      <c r="H31" s="48">
        <f t="shared" ref="H31:H32" si="4">D31*E31</f>
        <v>2400000</v>
      </c>
      <c r="I31" s="48">
        <f>E31*D31*'DATA &amp; ASSUMPTIONS'!C16</f>
        <v>0</v>
      </c>
      <c r="J31" s="49" t="s">
        <v>91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8" x14ac:dyDescent="0.3">
      <c r="A32" s="4" t="s">
        <v>8</v>
      </c>
      <c r="B32" s="46">
        <f>'DATA &amp; ASSUMPTIONS'!D5</f>
        <v>46752</v>
      </c>
      <c r="C32" s="38" t="s">
        <v>33</v>
      </c>
      <c r="D32" s="26">
        <v>1000</v>
      </c>
      <c r="E32" s="47">
        <f>'DATA &amp; ASSUMPTIONS'!B5/D32</f>
        <v>3600</v>
      </c>
      <c r="F32" s="26">
        <f>'DATA &amp; ASSUMPTIONS'!E18</f>
        <v>986.07</v>
      </c>
      <c r="G32" s="48">
        <f t="shared" si="3"/>
        <v>3549852</v>
      </c>
      <c r="H32" s="48">
        <f t="shared" si="4"/>
        <v>3600000</v>
      </c>
      <c r="I32" s="48">
        <f>E32*D32*'DATA &amp; ASSUMPTIONS'!C18</f>
        <v>126000.00000000001</v>
      </c>
      <c r="J32" s="49" t="s">
        <v>91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 x14ac:dyDescent="0.3">
      <c r="A34" s="5" t="s">
        <v>92</v>
      </c>
      <c r="B34" s="5" t="s">
        <v>93</v>
      </c>
      <c r="C34" s="5" t="s">
        <v>94</v>
      </c>
      <c r="D34" s="5" t="s">
        <v>95</v>
      </c>
      <c r="E34" s="5" t="s">
        <v>96</v>
      </c>
      <c r="F34" s="5" t="s">
        <v>97</v>
      </c>
      <c r="G34" s="1"/>
      <c r="H34" s="7"/>
      <c r="I34" s="7"/>
      <c r="J34" s="7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" x14ac:dyDescent="0.3">
      <c r="A35" s="8" t="s">
        <v>98</v>
      </c>
      <c r="B35" s="48">
        <f>G31</f>
        <v>2214672</v>
      </c>
      <c r="C35" s="48">
        <f>G32</f>
        <v>3549852</v>
      </c>
      <c r="D35" s="16">
        <f>'DATA &amp; ASSUMPTIONS'!B25</f>
        <v>0</v>
      </c>
      <c r="E35" s="48">
        <f>SUM(B35:D35)</f>
        <v>5764524</v>
      </c>
      <c r="F35" s="50">
        <f>'DATA &amp; ASSUMPTIONS'!B3-E35</f>
        <v>6235476</v>
      </c>
      <c r="G35" s="51"/>
      <c r="H35" s="7"/>
      <c r="I35" s="7"/>
      <c r="J35" s="7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3">
      <c r="A37" s="101" t="s">
        <v>99</v>
      </c>
      <c r="B37" s="96"/>
      <c r="C37" s="96"/>
      <c r="D37" s="96"/>
      <c r="E37" s="96"/>
      <c r="F37" s="96"/>
      <c r="G37" s="96"/>
      <c r="H37" s="96"/>
      <c r="I37" s="96"/>
      <c r="J37" s="9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8" x14ac:dyDescent="0.3">
      <c r="A38" s="5" t="s">
        <v>81</v>
      </c>
      <c r="B38" s="5" t="s">
        <v>82</v>
      </c>
      <c r="C38" s="5" t="s">
        <v>83</v>
      </c>
      <c r="D38" s="5" t="s">
        <v>84</v>
      </c>
      <c r="E38" s="5" t="s">
        <v>85</v>
      </c>
      <c r="F38" s="5" t="s">
        <v>86</v>
      </c>
      <c r="G38" s="5" t="s">
        <v>87</v>
      </c>
      <c r="H38" s="37" t="s">
        <v>88</v>
      </c>
      <c r="I38" s="37" t="s">
        <v>89</v>
      </c>
      <c r="J38" s="5" t="s">
        <v>90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8" x14ac:dyDescent="0.3">
      <c r="A39" s="4" t="s">
        <v>7</v>
      </c>
      <c r="B39" s="46">
        <f>'DATA &amp; ASSUMPTIONS'!D4</f>
        <v>45657</v>
      </c>
      <c r="C39" s="38" t="s">
        <v>29</v>
      </c>
      <c r="D39" s="26">
        <v>1000</v>
      </c>
      <c r="E39" s="47">
        <f>'DATA &amp; ASSUMPTIONS'!B4/D39</f>
        <v>2400</v>
      </c>
      <c r="F39" s="26">
        <f>'DATA &amp; ASSUMPTIONS'!E16</f>
        <v>922.78</v>
      </c>
      <c r="G39" s="48">
        <f t="shared" ref="G39:G40" si="5">E39*F39</f>
        <v>2214672</v>
      </c>
      <c r="H39" s="48">
        <f t="shared" ref="H39:H40" si="6">D39*E39</f>
        <v>2400000</v>
      </c>
      <c r="I39" s="48">
        <f>D39*E39*'DATA &amp; ASSUMPTIONS'!C16</f>
        <v>0</v>
      </c>
      <c r="J39" s="49" t="s">
        <v>91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 x14ac:dyDescent="0.3">
      <c r="A40" s="4" t="s">
        <v>8</v>
      </c>
      <c r="B40" s="46">
        <f>'DATA &amp; ASSUMPTIONS'!D5</f>
        <v>46752</v>
      </c>
      <c r="C40" s="49" t="s">
        <v>100</v>
      </c>
      <c r="D40" s="26">
        <v>1000</v>
      </c>
      <c r="E40" s="47">
        <f>ROUNDUP('DATA &amp; ASSUMPTIONS'!B5/SUM($B$5:$D$5),0)</f>
        <v>3215</v>
      </c>
      <c r="F40" s="26">
        <f>'DATA &amp; ASSUMPTIONS'!E17</f>
        <v>1002.49</v>
      </c>
      <c r="G40" s="48">
        <f t="shared" si="5"/>
        <v>3223005.35</v>
      </c>
      <c r="H40" s="65">
        <f t="shared" si="6"/>
        <v>3215000</v>
      </c>
      <c r="I40" s="48">
        <f>E40*$F$14</f>
        <v>128600</v>
      </c>
      <c r="J40" s="49" t="str">
        <f>IF(H40&gt;='DATA &amp; ASSUMPTIONS'!B5,"FULLY FUNDED","SHORTFALL")</f>
        <v>SHORTFALL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 x14ac:dyDescent="0.3">
      <c r="A42" s="5" t="s">
        <v>92</v>
      </c>
      <c r="B42" s="5" t="s">
        <v>93</v>
      </c>
      <c r="C42" s="5" t="s">
        <v>94</v>
      </c>
      <c r="D42" s="5" t="s">
        <v>95</v>
      </c>
      <c r="E42" s="5" t="s">
        <v>96</v>
      </c>
      <c r="F42" s="5" t="s">
        <v>97</v>
      </c>
      <c r="G42" s="1"/>
      <c r="H42" s="7"/>
      <c r="I42" s="7"/>
      <c r="J42" s="7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8" x14ac:dyDescent="0.3">
      <c r="A43" s="8" t="s">
        <v>101</v>
      </c>
      <c r="B43" s="48">
        <f>G39</f>
        <v>2214672</v>
      </c>
      <c r="C43" s="48">
        <f>G40</f>
        <v>3223005.35</v>
      </c>
      <c r="D43" s="16">
        <f>'DATA &amp; ASSUMPTIONS'!B25</f>
        <v>0</v>
      </c>
      <c r="E43" s="48">
        <f>SUM(B43:D43)</f>
        <v>5437677.3499999996</v>
      </c>
      <c r="F43" s="50">
        <f>'DATA &amp; ASSUMPTIONS'!B3-E43</f>
        <v>6562322.6500000004</v>
      </c>
      <c r="G43" s="51"/>
      <c r="H43" s="7"/>
      <c r="I43" s="7"/>
      <c r="J43" s="7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3">
      <c r="A45" s="95" t="s">
        <v>102</v>
      </c>
      <c r="B45" s="96"/>
      <c r="C45" s="96"/>
      <c r="D45" s="96"/>
      <c r="E45" s="96"/>
      <c r="F45" s="9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3">
      <c r="A46" s="52" t="s">
        <v>103</v>
      </c>
      <c r="B46" s="53" t="s">
        <v>104</v>
      </c>
      <c r="C46" s="53" t="s">
        <v>105</v>
      </c>
      <c r="D46" s="52" t="s">
        <v>106</v>
      </c>
      <c r="E46" s="102" t="s">
        <v>107</v>
      </c>
      <c r="F46" s="10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54" t="s">
        <v>108</v>
      </c>
      <c r="B47" s="55">
        <f>E35</f>
        <v>5764524</v>
      </c>
      <c r="C47" s="56">
        <f>E43</f>
        <v>5437677.3499999996</v>
      </c>
      <c r="D47" s="54" t="s">
        <v>109</v>
      </c>
      <c r="E47" s="111" t="s">
        <v>110</v>
      </c>
      <c r="F47" s="9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54" t="s">
        <v>111</v>
      </c>
      <c r="B48" s="57" t="s">
        <v>112</v>
      </c>
      <c r="C48" s="58" t="s">
        <v>112</v>
      </c>
      <c r="D48" s="54" t="s">
        <v>113</v>
      </c>
      <c r="E48" s="111" t="s">
        <v>114</v>
      </c>
      <c r="F48" s="9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54" t="s">
        <v>115</v>
      </c>
      <c r="B49" s="55">
        <f>H32</f>
        <v>3600000</v>
      </c>
      <c r="C49" s="56">
        <f>H40</f>
        <v>3215000</v>
      </c>
      <c r="D49" s="54" t="s">
        <v>116</v>
      </c>
      <c r="E49" s="111" t="s">
        <v>117</v>
      </c>
      <c r="F49" s="9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54" t="s">
        <v>118</v>
      </c>
      <c r="B50" s="55">
        <f>F35</f>
        <v>6235476</v>
      </c>
      <c r="C50" s="56">
        <f>F43</f>
        <v>6562322.6500000004</v>
      </c>
      <c r="D50" s="54" t="s">
        <v>109</v>
      </c>
      <c r="E50" s="111" t="s">
        <v>119</v>
      </c>
      <c r="F50" s="9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54" t="s">
        <v>120</v>
      </c>
      <c r="B51" s="57" t="s">
        <v>121</v>
      </c>
      <c r="C51" s="59" t="s">
        <v>122</v>
      </c>
      <c r="D51" s="54" t="s">
        <v>116</v>
      </c>
      <c r="E51" s="111" t="s">
        <v>123</v>
      </c>
      <c r="F51" s="9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54" t="s">
        <v>124</v>
      </c>
      <c r="B52" s="57" t="s">
        <v>125</v>
      </c>
      <c r="C52" s="59" t="s">
        <v>126</v>
      </c>
      <c r="D52" s="54" t="s">
        <v>109</v>
      </c>
      <c r="E52" s="111" t="s">
        <v>127</v>
      </c>
      <c r="F52" s="9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54" t="s">
        <v>128</v>
      </c>
      <c r="B53" s="57" t="s">
        <v>122</v>
      </c>
      <c r="C53" s="59" t="s">
        <v>121</v>
      </c>
      <c r="D53" s="54" t="s">
        <v>116</v>
      </c>
      <c r="E53" s="111" t="s">
        <v>129</v>
      </c>
      <c r="F53" s="97"/>
    </row>
    <row r="54" spans="1:26" ht="1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3">
      <c r="A55" s="60" t="s">
        <v>130</v>
      </c>
      <c r="B55" s="104" t="s">
        <v>131</v>
      </c>
      <c r="C55" s="96"/>
      <c r="D55" s="96"/>
      <c r="E55" s="96"/>
      <c r="F55" s="9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1.5" customHeight="1" x14ac:dyDescent="0.3">
      <c r="A56" s="60" t="s">
        <v>107</v>
      </c>
      <c r="B56" s="105" t="s">
        <v>132</v>
      </c>
      <c r="C56" s="96"/>
      <c r="D56" s="96"/>
      <c r="E56" s="96"/>
      <c r="F56" s="9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s="71" customFormat="1" ht="15.5" customHeight="1" x14ac:dyDescent="0.4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s="71" customFormat="1" ht="15" x14ac:dyDescent="0.4">
      <c r="A58" s="106" t="s">
        <v>133</v>
      </c>
      <c r="B58" s="107"/>
      <c r="C58" s="107"/>
      <c r="D58" s="107"/>
      <c r="E58" s="107"/>
      <c r="F58" s="107"/>
      <c r="G58" s="107"/>
      <c r="H58" s="107"/>
      <c r="I58" s="107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s="71" customFormat="1" ht="14.5" x14ac:dyDescent="0.4">
      <c r="A59" s="108" t="s">
        <v>210</v>
      </c>
      <c r="B59" s="109"/>
      <c r="C59" s="109"/>
      <c r="D59" s="109"/>
      <c r="E59" s="109"/>
      <c r="F59" s="109"/>
      <c r="G59" s="109"/>
      <c r="H59" s="109"/>
      <c r="I59" s="109"/>
      <c r="J59" s="72"/>
      <c r="K59" s="72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s="71" customFormat="1" ht="14.5" x14ac:dyDescent="0.4">
      <c r="A60" s="110"/>
      <c r="B60" s="110"/>
      <c r="C60" s="110"/>
      <c r="D60" s="110"/>
      <c r="E60" s="110"/>
      <c r="F60" s="110"/>
      <c r="G60" s="110"/>
      <c r="H60" s="110"/>
      <c r="I60" s="11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s="71" customFormat="1" ht="16.5" x14ac:dyDescent="0.45">
      <c r="A61" s="73"/>
      <c r="B61" s="73"/>
      <c r="C61" s="73"/>
      <c r="D61" s="73"/>
      <c r="E61" s="73"/>
      <c r="F61" s="73"/>
      <c r="G61" s="73"/>
      <c r="H61" s="73"/>
      <c r="I61" s="73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s="71" customFormat="1" ht="43" x14ac:dyDescent="0.4">
      <c r="A62" s="74" t="s">
        <v>134</v>
      </c>
      <c r="B62" s="74" t="s">
        <v>135</v>
      </c>
      <c r="C62" s="74" t="s">
        <v>136</v>
      </c>
      <c r="D62" s="74" t="s">
        <v>137</v>
      </c>
      <c r="E62" s="74" t="s">
        <v>138</v>
      </c>
      <c r="F62" s="74" t="s">
        <v>139</v>
      </c>
      <c r="G62" s="75" t="s">
        <v>140</v>
      </c>
      <c r="H62" s="75" t="s">
        <v>141</v>
      </c>
      <c r="I62" s="75" t="s">
        <v>90</v>
      </c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s="71" customFormat="1" ht="15" x14ac:dyDescent="0.4">
      <c r="A63" s="76">
        <v>2023</v>
      </c>
      <c r="B63" s="76">
        <f t="shared" ref="B63:B67" si="7">IF($A63=YEAR($B$31),$E$31*$D$31,0)</f>
        <v>0</v>
      </c>
      <c r="C63" s="77">
        <f>IF($A63&lt;=YEAR($B$32),$E$32*$D$32*'DATA &amp; ASSUMPTIONS'!$C$18,0)</f>
        <v>126000.00000000001</v>
      </c>
      <c r="D63" s="76">
        <f t="shared" ref="D63:D67" si="8">IF($A63=YEAR($B$32),$E$32*$D$32,0)</f>
        <v>0</v>
      </c>
      <c r="E63" s="77">
        <f t="shared" ref="E63:E67" si="9">SUM(B63:D63)</f>
        <v>126000.00000000001</v>
      </c>
      <c r="F63" s="76">
        <f t="shared" ref="F63:F67" si="10">IF($A63=YEAR($B$31),$H$31,IF($A63=YEAR($B$32),$H$32,0))</f>
        <v>0</v>
      </c>
      <c r="G63" s="77">
        <f t="shared" ref="G63:G67" si="11">E63-F63</f>
        <v>126000.00000000001</v>
      </c>
      <c r="H63" s="77">
        <f>SUM($G$63:G63)</f>
        <v>126000.00000000001</v>
      </c>
      <c r="I63" s="94" t="s">
        <v>142</v>
      </c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s="71" customFormat="1" ht="15" x14ac:dyDescent="0.4">
      <c r="A64" s="76">
        <v>2024</v>
      </c>
      <c r="B64" s="78">
        <f t="shared" si="7"/>
        <v>2400000</v>
      </c>
      <c r="C64" s="77">
        <f>IF($A64&lt;=YEAR($B$32),$E$32*$D$32*'DATA &amp; ASSUMPTIONS'!$C$18,0)</f>
        <v>126000.00000000001</v>
      </c>
      <c r="D64" s="76">
        <f t="shared" si="8"/>
        <v>0</v>
      </c>
      <c r="E64" s="77">
        <f t="shared" si="9"/>
        <v>2526000</v>
      </c>
      <c r="F64" s="77">
        <f t="shared" si="10"/>
        <v>2400000</v>
      </c>
      <c r="G64" s="77">
        <f t="shared" si="11"/>
        <v>126000</v>
      </c>
      <c r="H64" s="77">
        <f>SUM($G$63:G64)</f>
        <v>252000</v>
      </c>
      <c r="I64" s="94" t="s">
        <v>143</v>
      </c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s="71" customFormat="1" ht="15" x14ac:dyDescent="0.4">
      <c r="A65" s="76">
        <v>2025</v>
      </c>
      <c r="B65" s="76">
        <f t="shared" si="7"/>
        <v>0</v>
      </c>
      <c r="C65" s="77">
        <f>IF($A65&lt;=YEAR($B$32),$E$32*$D$32*'DATA &amp; ASSUMPTIONS'!$C$18,0)</f>
        <v>126000.00000000001</v>
      </c>
      <c r="D65" s="76">
        <f t="shared" si="8"/>
        <v>0</v>
      </c>
      <c r="E65" s="77">
        <f t="shared" si="9"/>
        <v>126000.00000000001</v>
      </c>
      <c r="F65" s="76">
        <f t="shared" si="10"/>
        <v>0</v>
      </c>
      <c r="G65" s="77">
        <f t="shared" si="11"/>
        <v>126000.00000000001</v>
      </c>
      <c r="H65" s="77">
        <f>SUM($G$63:G65)</f>
        <v>378000</v>
      </c>
      <c r="I65" s="94" t="s">
        <v>142</v>
      </c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s="71" customFormat="1" ht="15" x14ac:dyDescent="0.4">
      <c r="A66" s="76">
        <v>2026</v>
      </c>
      <c r="B66" s="76">
        <f t="shared" si="7"/>
        <v>0</v>
      </c>
      <c r="C66" s="77">
        <f>IF($A66&lt;=YEAR($B$32),$E$32*$D$32*'DATA &amp; ASSUMPTIONS'!$C$18,0)</f>
        <v>126000.00000000001</v>
      </c>
      <c r="D66" s="76">
        <f t="shared" si="8"/>
        <v>0</v>
      </c>
      <c r="E66" s="77">
        <f t="shared" si="9"/>
        <v>126000.00000000001</v>
      </c>
      <c r="F66" s="76">
        <f t="shared" si="10"/>
        <v>0</v>
      </c>
      <c r="G66" s="77">
        <f t="shared" si="11"/>
        <v>126000.00000000001</v>
      </c>
      <c r="H66" s="77">
        <f>SUM($G$63:G66)</f>
        <v>504000</v>
      </c>
      <c r="I66" s="94" t="s">
        <v>142</v>
      </c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s="71" customFormat="1" ht="15" x14ac:dyDescent="0.4">
      <c r="A67" s="76">
        <v>2027</v>
      </c>
      <c r="B67" s="76">
        <f t="shared" si="7"/>
        <v>0</v>
      </c>
      <c r="C67" s="77">
        <f>IF($A67&lt;=YEAR($B$32),$E$32*$D$32*'DATA &amp; ASSUMPTIONS'!$C$18,0)</f>
        <v>126000.00000000001</v>
      </c>
      <c r="D67" s="78">
        <f t="shared" si="8"/>
        <v>3600000</v>
      </c>
      <c r="E67" s="77">
        <f t="shared" si="9"/>
        <v>3726000</v>
      </c>
      <c r="F67" s="77">
        <f t="shared" si="10"/>
        <v>3600000</v>
      </c>
      <c r="G67" s="77">
        <f t="shared" si="11"/>
        <v>126000</v>
      </c>
      <c r="H67" s="77">
        <f>SUM($G$63:G67)</f>
        <v>630000</v>
      </c>
      <c r="I67" s="94" t="s">
        <v>143</v>
      </c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s="71" customFormat="1" ht="14.5" x14ac:dyDescent="0.4">
      <c r="A68" s="79"/>
      <c r="B68" s="79"/>
      <c r="C68" s="79"/>
      <c r="D68" s="79"/>
      <c r="E68" s="79"/>
      <c r="F68" s="79"/>
      <c r="G68" s="80"/>
      <c r="H68" s="79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s="71" customFormat="1" ht="15" customHeight="1" x14ac:dyDescent="0.4">
      <c r="A69" s="88" t="s">
        <v>211</v>
      </c>
      <c r="B69" s="88"/>
      <c r="C69" s="88"/>
      <c r="D69" s="88"/>
      <c r="F69" s="81"/>
      <c r="G69" s="79"/>
      <c r="H69" s="79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s="71" customFormat="1" ht="16" customHeight="1" x14ac:dyDescent="0.4">
      <c r="A70" s="82" t="s">
        <v>212</v>
      </c>
      <c r="B70" s="82" t="s">
        <v>213</v>
      </c>
      <c r="C70" s="82" t="s">
        <v>95</v>
      </c>
      <c r="D70" s="82" t="s">
        <v>97</v>
      </c>
      <c r="E70" s="81"/>
      <c r="F70" s="81"/>
      <c r="G70" s="79"/>
      <c r="H70" s="79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s="71" customFormat="1" ht="15" x14ac:dyDescent="0.4">
      <c r="A71" s="83" t="s">
        <v>214</v>
      </c>
      <c r="B71" s="87">
        <f>$E$35</f>
        <v>5764524</v>
      </c>
      <c r="C71" s="87">
        <f>'DATA &amp; ASSUMPTIONS'!B25</f>
        <v>0</v>
      </c>
      <c r="D71" s="85">
        <f>'DATA &amp; ASSUMPTIONS'!B3-B71-C71</f>
        <v>6235476</v>
      </c>
      <c r="E71" s="81"/>
      <c r="F71" s="81"/>
      <c r="G71" s="79"/>
      <c r="H71" s="79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s="71" customFormat="1" ht="15" x14ac:dyDescent="0.4">
      <c r="A72" s="83" t="s">
        <v>215</v>
      </c>
      <c r="B72" s="87">
        <f>$E$35</f>
        <v>5764524</v>
      </c>
      <c r="C72" s="87">
        <f>'DATA &amp; ASSUMPTIONS'!D25</f>
        <v>250000</v>
      </c>
      <c r="D72" s="85">
        <f>'DATA &amp; ASSUMPTIONS'!B3-B72-C72</f>
        <v>5985476</v>
      </c>
      <c r="E72" s="81"/>
      <c r="F72" s="81"/>
      <c r="G72" s="79"/>
      <c r="H72" s="79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s="71" customFormat="1" ht="10.5" customHeight="1" x14ac:dyDescent="0.4">
      <c r="A73" s="81"/>
      <c r="B73" s="81"/>
      <c r="C73" s="81"/>
      <c r="D73" s="81"/>
      <c r="E73" s="81"/>
      <c r="F73" s="81"/>
      <c r="G73" s="79"/>
      <c r="H73" s="79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s="71" customFormat="1" ht="16" customHeight="1" x14ac:dyDescent="0.4">
      <c r="A74" s="82" t="s">
        <v>216</v>
      </c>
      <c r="B74" s="82" t="s">
        <v>214</v>
      </c>
      <c r="C74" s="82" t="s">
        <v>40</v>
      </c>
      <c r="D74" s="82" t="s">
        <v>41</v>
      </c>
      <c r="E74" s="81"/>
      <c r="F74" s="81"/>
      <c r="G74" s="79"/>
      <c r="H74" s="79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s="71" customFormat="1" ht="15" x14ac:dyDescent="0.4">
      <c r="A75" s="83" t="s">
        <v>217</v>
      </c>
      <c r="B75" s="83">
        <f>'DATA &amp; ASSUMPTIONS'!B24</f>
        <v>3</v>
      </c>
      <c r="C75" s="83">
        <f>'DATA &amp; ASSUMPTIONS'!C24</f>
        <v>3</v>
      </c>
      <c r="D75" s="83">
        <f>'DATA &amp; ASSUMPTIONS'!D24</f>
        <v>6</v>
      </c>
      <c r="E75" s="81"/>
      <c r="F75" s="81"/>
      <c r="G75" s="79"/>
      <c r="H75" s="79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s="71" customFormat="1" ht="57" x14ac:dyDescent="0.4">
      <c r="A76" s="83" t="s">
        <v>218</v>
      </c>
      <c r="B76" s="83" t="s">
        <v>219</v>
      </c>
      <c r="C76" s="83" t="s">
        <v>220</v>
      </c>
      <c r="D76" s="83" t="s">
        <v>221</v>
      </c>
      <c r="E76" s="81"/>
      <c r="F76" s="81"/>
      <c r="G76" s="79"/>
      <c r="H76" s="79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s="71" customFormat="1" ht="15" x14ac:dyDescent="0.4">
      <c r="A77" s="81"/>
      <c r="B77" s="81"/>
      <c r="C77" s="81"/>
      <c r="D77" s="81"/>
      <c r="E77" s="81"/>
      <c r="F77" s="81"/>
      <c r="G77" s="79"/>
      <c r="H77" s="79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s="71" customFormat="1" ht="29" x14ac:dyDescent="0.4">
      <c r="A78" s="84" t="s">
        <v>222</v>
      </c>
      <c r="B78" s="83" t="s">
        <v>223</v>
      </c>
      <c r="C78" s="81"/>
      <c r="D78" s="81"/>
      <c r="E78" s="81"/>
      <c r="F78" s="81"/>
      <c r="G78" s="79"/>
      <c r="H78" s="79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s="71" customFormat="1" ht="29" x14ac:dyDescent="0.4">
      <c r="A79" s="84" t="s">
        <v>224</v>
      </c>
      <c r="B79" s="85">
        <f>$F$35</f>
        <v>6235476</v>
      </c>
      <c r="C79" s="81"/>
      <c r="D79" s="81"/>
      <c r="E79" s="81"/>
      <c r="F79" s="81"/>
      <c r="G79" s="79"/>
      <c r="H79" s="79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s="71" customFormat="1" ht="71" x14ac:dyDescent="0.4">
      <c r="A80" s="84" t="s">
        <v>225</v>
      </c>
      <c r="B80" s="83" t="s">
        <v>226</v>
      </c>
      <c r="C80" s="81"/>
      <c r="D80" s="81"/>
      <c r="E80" s="81"/>
      <c r="F80" s="81"/>
      <c r="G80" s="79"/>
      <c r="H80" s="79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s="71" customFormat="1" ht="29" x14ac:dyDescent="0.4">
      <c r="A81" s="84" t="s">
        <v>227</v>
      </c>
      <c r="B81" s="86" t="s">
        <v>228</v>
      </c>
      <c r="C81" s="81"/>
      <c r="D81" s="81"/>
      <c r="E81" s="81"/>
      <c r="F81" s="81"/>
      <c r="G81" s="79"/>
      <c r="H81" s="79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s="71" customFormat="1" ht="14.5" x14ac:dyDescent="0.4">
      <c r="A82" s="79"/>
      <c r="B82" s="79"/>
      <c r="C82" s="79"/>
      <c r="D82" s="79"/>
      <c r="E82" s="79"/>
      <c r="F82" s="79"/>
      <c r="G82" s="79"/>
      <c r="H82" s="79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s="71" customFormat="1" ht="14.5" x14ac:dyDescent="0.4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s="71" customFormat="1" ht="14.5" x14ac:dyDescent="0.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s="71" customFormat="1" ht="14.5" x14ac:dyDescent="0.4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s="71" customFormat="1" ht="14.5" x14ac:dyDescent="0.4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s="71" customFormat="1" ht="14.5" x14ac:dyDescent="0.4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s="71" customFormat="1" ht="14.5" x14ac:dyDescent="0.4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B56:F56"/>
    <mergeCell ref="A58:I58"/>
    <mergeCell ref="A59:I60"/>
    <mergeCell ref="E47:F47"/>
    <mergeCell ref="E48:F48"/>
    <mergeCell ref="E49:F49"/>
    <mergeCell ref="E50:F50"/>
    <mergeCell ref="E51:F51"/>
    <mergeCell ref="E52:F52"/>
    <mergeCell ref="E53:F53"/>
    <mergeCell ref="A29:J29"/>
    <mergeCell ref="A37:J37"/>
    <mergeCell ref="A45:F45"/>
    <mergeCell ref="E46:F46"/>
    <mergeCell ref="B55:F55"/>
    <mergeCell ref="C22:D22"/>
    <mergeCell ref="C23:D23"/>
    <mergeCell ref="C24:D24"/>
    <mergeCell ref="C25:D25"/>
    <mergeCell ref="A28:J28"/>
    <mergeCell ref="A1:K1"/>
    <mergeCell ref="A10:H10"/>
    <mergeCell ref="A19:D19"/>
    <mergeCell ref="C20:D20"/>
    <mergeCell ref="C21:D2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topLeftCell="A20" workbookViewId="0">
      <selection activeCell="D29" sqref="D29"/>
    </sheetView>
  </sheetViews>
  <sheetFormatPr defaultColWidth="12.6328125" defaultRowHeight="12.5" x14ac:dyDescent="0.25"/>
  <cols>
    <col min="1" max="1" width="21.08984375" customWidth="1"/>
    <col min="2" max="2" width="20.08984375" customWidth="1"/>
    <col min="3" max="3" width="18.7265625" customWidth="1"/>
    <col min="5" max="5" width="16.36328125" customWidth="1"/>
    <col min="6" max="6" width="17.08984375" customWidth="1"/>
    <col min="9" max="9" width="14.1796875" bestFit="1" customWidth="1"/>
  </cols>
  <sheetData>
    <row r="1" spans="1:26" ht="19" x14ac:dyDescent="0.4">
      <c r="A1" s="124" t="s">
        <v>144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5" t="s">
        <v>145</v>
      </c>
      <c r="B2" s="5" t="s">
        <v>2</v>
      </c>
      <c r="C2" s="7"/>
      <c r="D2" s="7"/>
      <c r="E2" s="7"/>
      <c r="F2" s="7"/>
      <c r="G2" s="7"/>
      <c r="H2" s="7"/>
      <c r="I2" s="7"/>
      <c r="J2" s="7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" x14ac:dyDescent="0.3">
      <c r="A3" s="4" t="s">
        <v>146</v>
      </c>
      <c r="B3" s="12" t="str">
        <f>'BOND &amp; FUNDING ANALYSIS'!J31</f>
        <v>FULLY FUNDED</v>
      </c>
      <c r="C3" s="7"/>
      <c r="D3" s="7"/>
      <c r="E3" s="7"/>
      <c r="F3" s="7"/>
      <c r="G3" s="7"/>
      <c r="H3" s="7"/>
      <c r="I3" s="7"/>
      <c r="J3" s="7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3">
      <c r="A4" s="4" t="s">
        <v>147</v>
      </c>
      <c r="B4" s="12" t="str">
        <f>'BOND &amp; FUNDING ANALYSIS'!J32</f>
        <v>FULLY FUNDED</v>
      </c>
      <c r="C4" s="7"/>
      <c r="D4" s="7"/>
      <c r="E4" s="7"/>
      <c r="F4" s="7"/>
      <c r="G4" s="7"/>
      <c r="H4" s="7"/>
      <c r="I4" s="7"/>
      <c r="J4" s="7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3">
      <c r="A5" s="4" t="s">
        <v>96</v>
      </c>
      <c r="B5" s="16">
        <f>'BOND &amp; FUNDING ANALYSIS'!E35</f>
        <v>5764524</v>
      </c>
      <c r="C5" s="7"/>
      <c r="D5" s="7"/>
      <c r="E5" s="7"/>
      <c r="F5" s="7"/>
      <c r="G5" s="7"/>
      <c r="H5" s="7"/>
      <c r="I5" s="7"/>
      <c r="J5" s="7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3">
      <c r="A6" s="4" t="s">
        <v>97</v>
      </c>
      <c r="B6" s="18">
        <f>'BOND &amp; FUNDING ANALYSIS'!F35</f>
        <v>6235476</v>
      </c>
      <c r="C6" s="7"/>
      <c r="D6" s="7"/>
      <c r="E6" s="7"/>
      <c r="F6" s="7"/>
      <c r="G6" s="7"/>
      <c r="H6" s="7"/>
      <c r="I6" s="7"/>
      <c r="J6" s="7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" x14ac:dyDescent="0.3">
      <c r="A7" s="4" t="s">
        <v>148</v>
      </c>
      <c r="B7" s="22">
        <f>'DATA &amp; ASSUMPTIONS'!B26</f>
        <v>0.01</v>
      </c>
      <c r="C7" s="7"/>
      <c r="D7" s="7"/>
      <c r="E7" s="7"/>
      <c r="F7" s="7"/>
      <c r="G7" s="7"/>
      <c r="H7" s="7"/>
      <c r="I7" s="7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" x14ac:dyDescent="0.3">
      <c r="A10" s="125" t="s">
        <v>149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 x14ac:dyDescent="0.3">
      <c r="A11" s="5" t="s">
        <v>62</v>
      </c>
      <c r="B11" s="5" t="s">
        <v>150</v>
      </c>
      <c r="C11" s="5" t="s">
        <v>151</v>
      </c>
      <c r="D11" s="5" t="s">
        <v>22</v>
      </c>
      <c r="E11" s="5" t="s">
        <v>152</v>
      </c>
      <c r="F11" s="5" t="s">
        <v>153</v>
      </c>
      <c r="G11" s="5" t="s">
        <v>154</v>
      </c>
      <c r="H11" s="126" t="s">
        <v>155</v>
      </c>
      <c r="I11" s="96"/>
      <c r="J11" s="96"/>
      <c r="K11" s="9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" x14ac:dyDescent="0.3">
      <c r="A12" s="9" t="s">
        <v>27</v>
      </c>
      <c r="B12" s="26">
        <f>'BOND &amp; FUNDING ANALYSIS'!B12</f>
        <v>958.77</v>
      </c>
      <c r="C12" s="66">
        <f>'BOND &amp; FUNDING ANALYSIS'!G12</f>
        <v>4.3003014278711317E-2</v>
      </c>
      <c r="D12" s="12">
        <f>'BOND &amp; FUNDING ANALYSIS'!E12</f>
        <v>1</v>
      </c>
      <c r="E12" s="36">
        <f>(1*'BOND &amp; FUNDING ANALYSIS'!B3/(1+$C12)^1+2*'BOND &amp; FUNDING ANALYSIS'!C3/(1+$C12)^2+3*'BOND &amp; FUNDING ANALYSIS'!D3/(1+$C12)^3+4*'BOND &amp; FUNDING ANALYSIS'!E3/(1+$C12)^4+5*'BOND &amp; FUNDING ANALYSIS'!F3/(1+$C12)^5+6*'BOND &amp; FUNDING ANALYSIS'!G3/(1+$C12)^6+7*'BOND &amp; FUNDING ANALYSIS'!H3/(1+$C12)^7+8*'BOND &amp; FUNDING ANALYSIS'!I3/(1+$C12)^8)/$B12</f>
        <v>1</v>
      </c>
      <c r="F12" s="36">
        <f t="shared" ref="F12:F16" si="0">E12/(1+C12)</f>
        <v>0.95877000000000001</v>
      </c>
      <c r="G12" s="36">
        <f>(1*2*'BOND &amp; FUNDING ANALYSIS'!B3/(1+$C12)^3
+2*3*'BOND &amp; FUNDING ANALYSIS'!C3/(1+$C12)^4
+3*4*'BOND &amp; FUNDING ANALYSIS'!D3/(1+$C12)^5
+4*5*'BOND &amp; FUNDING ANALYSIS'!E3/(1+$C12)^6
+5*6*'BOND &amp; FUNDING ANALYSIS'!F3/(1+$C12)^7
+6*7*'BOND &amp; FUNDING ANALYSIS'!G3/(1+$C12)^8
+7*8*'BOND &amp; FUNDING ANALYSIS'!H3/(1+$C12)^9
+8*9*'BOND &amp; FUNDING ANALYSIS'!I3/(1+$C12)^10)/$B12</f>
        <v>1.8384798258000001</v>
      </c>
      <c r="H12" s="127" t="s">
        <v>156</v>
      </c>
      <c r="I12" s="96"/>
      <c r="J12" s="96"/>
      <c r="K12" s="9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" x14ac:dyDescent="0.3">
      <c r="A13" s="9" t="s">
        <v>29</v>
      </c>
      <c r="B13" s="26">
        <f>'BOND &amp; FUNDING ANALYSIS'!B13</f>
        <v>922.78</v>
      </c>
      <c r="C13" s="66">
        <f>'BOND &amp; FUNDING ANALYSIS'!G13</f>
        <v>4.1000440770841182E-2</v>
      </c>
      <c r="D13" s="12">
        <f>'BOND &amp; FUNDING ANALYSIS'!E13</f>
        <v>2</v>
      </c>
      <c r="E13" s="36">
        <f>(1*'BOND &amp; FUNDING ANALYSIS'!B4/(1+$C13)^1+2*'BOND &amp; FUNDING ANALYSIS'!C4/(1+$C13)^2+3*'BOND &amp; FUNDING ANALYSIS'!D4/(1+$C13)^3+4*'BOND &amp; FUNDING ANALYSIS'!E4/(1+$C13)^4+5*'BOND &amp; FUNDING ANALYSIS'!F4/(1+$C13)^5+6*'BOND &amp; FUNDING ANALYSIS'!G4/(1+$C13)^6+7*'BOND &amp; FUNDING ANALYSIS'!H4/(1+$C13)^7+8*'BOND &amp; FUNDING ANALYSIS'!I4/(1+$C13)^8)/$B13</f>
        <v>1.9999999999971139</v>
      </c>
      <c r="F13" s="36">
        <f t="shared" si="0"/>
        <v>1.9212287734634885</v>
      </c>
      <c r="G13" s="36">
        <f>(1*2*'BOND &amp; FUNDING ANALYSIS'!B4/(1+$C13)^3
+2*3*'BOND &amp; FUNDING ANALYSIS'!C4/(1+$C13)^4
+3*4*'BOND &amp; FUNDING ANALYSIS'!D4/(1+$C13)^5
+4*5*'BOND &amp; FUNDING ANALYSIS'!E4/(1+$C13)^6
+5*6*'BOND &amp; FUNDING ANALYSIS'!F4/(1+$C13)^7
+6*7*'BOND &amp; FUNDING ANALYSIS'!G4/(1+$C13)^8
+7*8*'BOND &amp; FUNDING ANALYSIS'!H4/(1+$C13)^9
+8*9*'BOND &amp; FUNDING ANALYSIS'!I4/(1+$C13)^10)/$B13</f>
        <v>5.5366799999840204</v>
      </c>
      <c r="H13" s="127" t="s">
        <v>157</v>
      </c>
      <c r="I13" s="96"/>
      <c r="J13" s="96"/>
      <c r="K13" s="9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" x14ac:dyDescent="0.3">
      <c r="A14" s="9" t="s">
        <v>30</v>
      </c>
      <c r="B14" s="26">
        <f>'BOND &amp; FUNDING ANALYSIS'!B14</f>
        <v>1002.49</v>
      </c>
      <c r="C14" s="66">
        <f>'BOND &amp; FUNDING ANALYSIS'!G14</f>
        <v>3.9104257135426833E-2</v>
      </c>
      <c r="D14" s="12">
        <f>'BOND &amp; FUNDING ANALYSIS'!E14</f>
        <v>3</v>
      </c>
      <c r="E14" s="36">
        <f>(1*'BOND &amp; FUNDING ANALYSIS'!B5/(1+$C14)^1+2*'BOND &amp; FUNDING ANALYSIS'!C5/(1+$C14)^2+3*'BOND &amp; FUNDING ANALYSIS'!D5/(1+$C14)^3+4*'BOND &amp; FUNDING ANALYSIS'!E5/(1+$C14)^4+5*'BOND &amp; FUNDING ANALYSIS'!F5/(1+$C14)^5+6*'BOND &amp; FUNDING ANALYSIS'!G5/(1+$C14)^6+7*'BOND &amp; FUNDING ANALYSIS'!H5/(1+$C14)^7+8*'BOND &amp; FUNDING ANALYSIS'!I5/(1+$C14)^8)/$B14</f>
        <v>2.8862478198328998</v>
      </c>
      <c r="F14" s="36">
        <f t="shared" si="0"/>
        <v>2.7776306371697737</v>
      </c>
      <c r="G14" s="36">
        <f>(1*2*'BOND &amp; FUNDING ANALYSIS'!B5/(1+$C14)^3
+2*3*'BOND &amp; FUNDING ANALYSIS'!C5/(1+$C14)^4
+3*4*'BOND &amp; FUNDING ANALYSIS'!D5/(1+$C14)^5
+4*5*'BOND &amp; FUNDING ANALYSIS'!E5/(1+$C14)^6
+5*6*'BOND &amp; FUNDING ANALYSIS'!F5/(1+$C14)^7
+6*7*'BOND &amp; FUNDING ANALYSIS'!G5/(1+$C14)^8
+7*8*'BOND &amp; FUNDING ANALYSIS'!H5/(1+$C14)^9
+8*9*'BOND &amp; FUNDING ANALYSIS'!I5/(1+$C14)^10)/$B14</f>
        <v>10.552827349159466</v>
      </c>
      <c r="H14" s="127" t="s">
        <v>158</v>
      </c>
      <c r="I14" s="96"/>
      <c r="J14" s="96"/>
      <c r="K14" s="9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" x14ac:dyDescent="0.3">
      <c r="A15" s="9" t="s">
        <v>33</v>
      </c>
      <c r="B15" s="26">
        <f>'BOND &amp; FUNDING ANALYSIS'!B15</f>
        <v>986.07</v>
      </c>
      <c r="C15" s="66">
        <f>'BOND &amp; FUNDING ANALYSIS'!G15</f>
        <v>3.8112482564864839E-2</v>
      </c>
      <c r="D15" s="12">
        <f>'BOND &amp; FUNDING ANALYSIS'!E15</f>
        <v>5</v>
      </c>
      <c r="E15" s="36">
        <f>(1*'BOND &amp; FUNDING ANALYSIS'!B6/(1+$C15)^1+2*'BOND &amp; FUNDING ANALYSIS'!C6/(1+$C15)^2+3*'BOND &amp; FUNDING ANALYSIS'!D6/(1+$C15)^3+4*'BOND &amp; FUNDING ANALYSIS'!E6/(1+$C15)^4+5*'BOND &amp; FUNDING ANALYSIS'!F6/(1+$C15)^5+6*'BOND &amp; FUNDING ANALYSIS'!G6/(1+$C15)^6+7*'BOND &amp; FUNDING ANALYSIS'!H6/(1+$C15)^7+8*'BOND &amp; FUNDING ANALYSIS'!I6/(1+$C15)^8)/$B15</f>
        <v>4.6704107972675839</v>
      </c>
      <c r="F15" s="36">
        <f t="shared" si="0"/>
        <v>4.498944840474703</v>
      </c>
      <c r="G15" s="36">
        <f>(1*2*'BOND &amp; FUNDING ANALYSIS'!B6/(1+$C15)^3
+2*3*'BOND &amp; FUNDING ANALYSIS'!C6/(1+$C15)^4
+3*4*'BOND &amp; FUNDING ANALYSIS'!D6/(1+$C15)^5
+4*5*'BOND &amp; FUNDING ANALYSIS'!E6/(1+$C15)^6
+5*6*'BOND &amp; FUNDING ANALYSIS'!F6/(1+$C15)^7
+6*7*'BOND &amp; FUNDING ANALYSIS'!G6/(1+$C15)^8
+7*8*'BOND &amp; FUNDING ANALYSIS'!H6/(1+$C15)^9
+8*9*'BOND &amp; FUNDING ANALYSIS'!I6/(1+$C15)^10)/$B15</f>
        <v>25.402287004630637</v>
      </c>
      <c r="H15" s="127" t="s">
        <v>159</v>
      </c>
      <c r="I15" s="96"/>
      <c r="J15" s="96"/>
      <c r="K15" s="9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" x14ac:dyDescent="0.3">
      <c r="A16" s="9" t="s">
        <v>35</v>
      </c>
      <c r="B16" s="26">
        <f>'BOND &amp; FUNDING ANALYSIS'!B16</f>
        <v>1040.71</v>
      </c>
      <c r="C16" s="66">
        <f>'BOND &amp; FUNDING ANALYSIS'!G16</f>
        <v>3.8978900609643326E-2</v>
      </c>
      <c r="D16" s="12">
        <f>'BOND &amp; FUNDING ANALYSIS'!E16</f>
        <v>8</v>
      </c>
      <c r="E16" s="36">
        <f>(1*'BOND &amp; FUNDING ANALYSIS'!B7/(1+$C16)^1+2*'BOND &amp; FUNDING ANALYSIS'!C7/(1+$C16)^2+3*'BOND &amp; FUNDING ANALYSIS'!D7/(1+$C16)^3+4*'BOND &amp; FUNDING ANALYSIS'!E7/(1+$C16)^4+5*'BOND &amp; FUNDING ANALYSIS'!F7/(1+$C16)^5+6*'BOND &amp; FUNDING ANALYSIS'!G7/(1+$C16)^6+7*'BOND &amp; FUNDING ANALYSIS'!H7/(1+$C16)^7+8*'BOND &amp; FUNDING ANALYSIS'!I7/(1+$C16)^8)/$B16</f>
        <v>6.9181655815588563</v>
      </c>
      <c r="F16" s="36">
        <f t="shared" si="0"/>
        <v>6.6586198983439155</v>
      </c>
      <c r="G16" s="36">
        <f>(1*2*'BOND &amp; FUNDING ANALYSIS'!B7/(1+$C16)^3
+2*3*'BOND &amp; FUNDING ANALYSIS'!C7/(1+$C16)^4
+3*4*'BOND &amp; FUNDING ANALYSIS'!D7/(1+$C16)^5
+4*5*'BOND &amp; FUNDING ANALYSIS'!E7/(1+$C16)^6
+5*6*'BOND &amp; FUNDING ANALYSIS'!F7/(1+$C16)^7
+6*7*'BOND &amp; FUNDING ANALYSIS'!G7/(1+$C16)^8
+7*8*'BOND &amp; FUNDING ANALYSIS'!H7/(1+$C16)^9
+8*9*'BOND &amp; FUNDING ANALYSIS'!I7/(1+$C16)^10)/$B16</f>
        <v>54.785467392977537</v>
      </c>
      <c r="H16" s="127" t="s">
        <v>160</v>
      </c>
      <c r="I16" s="96"/>
      <c r="J16" s="96"/>
      <c r="K16" s="9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" x14ac:dyDescent="0.3">
      <c r="A19" s="125" t="s">
        <v>161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2" x14ac:dyDescent="0.3">
      <c r="A20" s="5" t="s">
        <v>62</v>
      </c>
      <c r="B20" s="5" t="s">
        <v>162</v>
      </c>
      <c r="C20" s="5" t="s">
        <v>163</v>
      </c>
      <c r="D20" s="5" t="s">
        <v>164</v>
      </c>
      <c r="E20" s="5" t="s">
        <v>165</v>
      </c>
      <c r="F20" s="5" t="s">
        <v>166</v>
      </c>
      <c r="G20" s="37" t="s">
        <v>167</v>
      </c>
      <c r="H20" s="5" t="s">
        <v>168</v>
      </c>
      <c r="I20" s="5" t="s">
        <v>169</v>
      </c>
      <c r="J20" s="5" t="s">
        <v>170</v>
      </c>
      <c r="K20" s="126" t="s">
        <v>171</v>
      </c>
      <c r="L20" s="96"/>
      <c r="M20" s="9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" x14ac:dyDescent="0.3">
      <c r="A21" s="38" t="s">
        <v>29</v>
      </c>
      <c r="B21" s="14">
        <f t="shared" ref="B21:C21" si="1">B13</f>
        <v>922.78</v>
      </c>
      <c r="C21" s="62">
        <f t="shared" si="1"/>
        <v>4.1000440770841182E-2</v>
      </c>
      <c r="D21" s="22">
        <f>'DATA &amp; ASSUMPTIONS'!B26</f>
        <v>0.01</v>
      </c>
      <c r="E21" s="30">
        <f>-F13*D21+0.5*G13*D21^2</f>
        <v>-1.8935453734635684E-2</v>
      </c>
      <c r="F21" s="14">
        <f t="shared" ref="F21:F22" si="2">B21*(1+E21)</f>
        <v>905.30674200275291</v>
      </c>
      <c r="G21" s="14">
        <f>'BOND &amp; FUNDING ANALYSIS'!B4/(1+C21+D21)^1
+'BOND &amp; FUNDING ANALYSIS'!C4/(1+C21+D21)^2
+'BOND &amp; FUNDING ANALYSIS'!D4/(1+C21+D21)^3
+'BOND &amp; FUNDING ANALYSIS'!E4/(1+C21+D21)^4
+'BOND &amp; FUNDING ANALYSIS'!F4/(1+C21+D21)^5
+'BOND &amp; FUNDING ANALYSIS'!G4/(1+C21+D21)^6
+'BOND &amp; FUNDING ANALYSIS'!H4/(1+C21+D21)^7
+'BOND &amp; FUNDING ANALYSIS'!I4/(1+C21+D21)^8</f>
        <v>905.30350890126329</v>
      </c>
      <c r="H21" s="30">
        <f t="shared" ref="H21:H22" si="3">G21/B21-1</f>
        <v>-1.8938957388258015E-2</v>
      </c>
      <c r="I21" s="39">
        <f t="shared" ref="I21:I22" si="4">E21-H21</f>
        <v>3.5036536223317927E-6</v>
      </c>
      <c r="J21" s="40" t="s">
        <v>172</v>
      </c>
      <c r="K21" s="100" t="s">
        <v>173</v>
      </c>
      <c r="L21" s="96"/>
      <c r="M21" s="9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" x14ac:dyDescent="0.3">
      <c r="A22" s="38" t="s">
        <v>33</v>
      </c>
      <c r="B22" s="14">
        <f t="shared" ref="B22:C22" si="5">B15</f>
        <v>986.07</v>
      </c>
      <c r="C22" s="62">
        <f t="shared" si="5"/>
        <v>3.8112482564864839E-2</v>
      </c>
      <c r="D22" s="22">
        <f>'DATA &amp; ASSUMPTIONS'!B26</f>
        <v>0.01</v>
      </c>
      <c r="E22" s="30">
        <f>-F15*D22+0.5*G15*D22^2</f>
        <v>-4.3719334054515495E-2</v>
      </c>
      <c r="F22" s="14">
        <f t="shared" si="2"/>
        <v>942.95967626886397</v>
      </c>
      <c r="G22" s="14">
        <f>'BOND &amp; FUNDING ANALYSIS'!B6/(1+C22+D22)^1
+'BOND &amp; FUNDING ANALYSIS'!C6/(1+C22+D22)^2
+'BOND &amp; FUNDING ANALYSIS'!D6/(1+C22+D22)^3
+'BOND &amp; FUNDING ANALYSIS'!E6/(1+C22+D22)^4
+'BOND &amp; FUNDING ANALYSIS'!F6/(1+C22+D22)^5
+'BOND &amp; FUNDING ANALYSIS'!G6/(1+C22+D22)^6
+'BOND &amp; FUNDING ANALYSIS'!H6/(1+C22+D22)^7
+'BOND &amp; FUNDING ANALYSIS'!I6/(1+C22+D22)^8</f>
        <v>942.93237807808259</v>
      </c>
      <c r="H22" s="30">
        <f t="shared" si="3"/>
        <v>-4.3747017880999772E-2</v>
      </c>
      <c r="I22" s="39">
        <f t="shared" si="4"/>
        <v>2.7683826484277418E-5</v>
      </c>
      <c r="J22" s="40" t="s">
        <v>174</v>
      </c>
      <c r="K22" s="100" t="s">
        <v>173</v>
      </c>
      <c r="L22" s="96"/>
      <c r="M22" s="9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" x14ac:dyDescent="0.3">
      <c r="A25" s="125" t="s">
        <v>175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8" x14ac:dyDescent="0.3">
      <c r="A26" s="5" t="s">
        <v>62</v>
      </c>
      <c r="B26" s="5" t="s">
        <v>163</v>
      </c>
      <c r="C26" s="5" t="s">
        <v>176</v>
      </c>
      <c r="D26" s="5" t="s">
        <v>177</v>
      </c>
      <c r="E26" s="5" t="s">
        <v>162</v>
      </c>
      <c r="F26" s="37" t="s">
        <v>167</v>
      </c>
      <c r="G26" s="5" t="s">
        <v>178</v>
      </c>
      <c r="H26" s="5" t="s">
        <v>179</v>
      </c>
      <c r="I26" s="126" t="s">
        <v>180</v>
      </c>
      <c r="J26" s="96"/>
      <c r="K26" s="9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" x14ac:dyDescent="0.3">
      <c r="A27" s="4" t="s">
        <v>29</v>
      </c>
      <c r="B27" s="67">
        <f>'BOND &amp; FUNDING ANALYSIS'!G13</f>
        <v>4.1000440770841182E-2</v>
      </c>
      <c r="C27" s="68">
        <f>'DATA &amp; ASSUMPTIONS'!B27</f>
        <v>5.0000000000000001E-3</v>
      </c>
      <c r="D27" s="67">
        <f t="shared" ref="D27:D28" si="6">B27+C27</f>
        <v>4.6000440770841179E-2</v>
      </c>
      <c r="E27" s="41">
        <f>B13</f>
        <v>922.78</v>
      </c>
      <c r="F27" s="41">
        <f>'BOND &amp; FUNDING ANALYSIS'!B4/(1+$D27)^1
+'BOND &amp; FUNDING ANALYSIS'!C4/(1+$D27)^2
+'BOND &amp; FUNDING ANALYSIS'!D4/(1+$D27)^3
+'BOND &amp; FUNDING ANALYSIS'!E4/(1+$D27)^4
+'BOND &amp; FUNDING ANALYSIS'!F4/(1+$D27)^5
+'BOND &amp; FUNDING ANALYSIS'!G4/(1+$D27)^6
+'BOND &amp; FUNDING ANALYSIS'!H4/(1+$D27)^7
+'BOND &amp; FUNDING ANALYSIS'!I4/(1+$D27)^8</f>
        <v>913.97910022927897</v>
      </c>
      <c r="G27" s="30">
        <f t="shared" ref="G27:G28" si="7">F27/E27-1</f>
        <v>-9.5373759408754477E-3</v>
      </c>
      <c r="H27" s="11">
        <v>45657</v>
      </c>
      <c r="I27" s="100" t="s">
        <v>181</v>
      </c>
      <c r="J27" s="96"/>
      <c r="K27" s="9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" x14ac:dyDescent="0.3">
      <c r="A28" s="4" t="s">
        <v>33</v>
      </c>
      <c r="B28" s="67">
        <f>'BOND &amp; FUNDING ANALYSIS'!G15</f>
        <v>3.8112482564864839E-2</v>
      </c>
      <c r="C28" s="69">
        <f>'DATA &amp; ASSUMPTIONS'!B28</f>
        <v>-5.0000000000000001E-3</v>
      </c>
      <c r="D28" s="67">
        <f t="shared" si="6"/>
        <v>3.3112482564864841E-2</v>
      </c>
      <c r="E28" s="41">
        <f>B15</f>
        <v>986.07</v>
      </c>
      <c r="F28" s="41">
        <f>'BOND &amp; FUNDING ANALYSIS'!B6/(1+$D28)^1
+'BOND &amp; FUNDING ANALYSIS'!C6/(1+$D28)^2
+'BOND &amp; FUNDING ANALYSIS'!D6/(1+$D28)^3
+'BOND &amp; FUNDING ANALYSIS'!E6/(1+$D28)^4
+'BOND &amp; FUNDING ANALYSIS'!F6/(1+$D28)^5
+'BOND &amp; FUNDING ANALYSIS'!G6/(1+$D28)^6
+'BOND &amp; FUNDING ANALYSIS'!H6/(1+$D28)^7
+'BOND &amp; FUNDING ANALYSIS'!I6/(1+$D28)^8</f>
        <v>1008.5679893321533</v>
      </c>
      <c r="G28" s="30">
        <f t="shared" si="7"/>
        <v>2.2815813615821634E-2</v>
      </c>
      <c r="H28" s="11">
        <v>46752</v>
      </c>
      <c r="I28" s="100" t="s">
        <v>181</v>
      </c>
      <c r="J28" s="96"/>
      <c r="K28" s="9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3">
      <c r="A31" s="129" t="s">
        <v>182</v>
      </c>
      <c r="B31" s="103"/>
      <c r="C31" s="103"/>
      <c r="D31" s="103"/>
      <c r="E31" s="103"/>
      <c r="F31" s="103"/>
      <c r="G31" s="103"/>
      <c r="H31" s="7"/>
      <c r="I31" s="7"/>
      <c r="J31" s="7"/>
      <c r="K31" s="7"/>
      <c r="L31" s="7"/>
      <c r="M31" s="7"/>
      <c r="N31" s="7"/>
      <c r="O31" s="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8" x14ac:dyDescent="0.3">
      <c r="A32" s="5" t="s">
        <v>183</v>
      </c>
      <c r="B32" s="37" t="s">
        <v>184</v>
      </c>
      <c r="C32" s="5" t="s">
        <v>185</v>
      </c>
      <c r="D32" s="126" t="s">
        <v>186</v>
      </c>
      <c r="E32" s="96"/>
      <c r="F32" s="96"/>
      <c r="G32" s="97"/>
      <c r="H32" s="7"/>
      <c r="I32" s="7"/>
      <c r="J32" s="7"/>
      <c r="K32" s="7"/>
      <c r="L32" s="7"/>
      <c r="M32" s="7"/>
      <c r="N32" s="7"/>
      <c r="O32" s="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8" x14ac:dyDescent="0.3">
      <c r="A33" s="8" t="s">
        <v>187</v>
      </c>
      <c r="B33" s="8" t="s">
        <v>188</v>
      </c>
      <c r="C33" s="16">
        <f>'BOND &amp; FUNDING ANALYSIS'!G31</f>
        <v>2214672</v>
      </c>
      <c r="D33" s="100" t="s">
        <v>189</v>
      </c>
      <c r="E33" s="96"/>
      <c r="F33" s="96"/>
      <c r="G33" s="97"/>
      <c r="H33" s="7"/>
      <c r="I33" s="7"/>
      <c r="J33" s="130"/>
      <c r="K33" s="103"/>
      <c r="L33" s="103"/>
      <c r="M33" s="10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 x14ac:dyDescent="0.3">
      <c r="A34" s="8" t="s">
        <v>190</v>
      </c>
      <c r="B34" s="8" t="s">
        <v>191</v>
      </c>
      <c r="C34" s="16">
        <f>'BOND &amp; FUNDING ANALYSIS'!G32</f>
        <v>3549852</v>
      </c>
      <c r="D34" s="100" t="s">
        <v>229</v>
      </c>
      <c r="E34" s="96"/>
      <c r="F34" s="96"/>
      <c r="G34" s="97"/>
      <c r="H34" s="7"/>
      <c r="I34" s="7"/>
      <c r="J34" s="7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8" x14ac:dyDescent="0.3">
      <c r="A35" s="8" t="s">
        <v>96</v>
      </c>
      <c r="B35" s="8" t="s">
        <v>192</v>
      </c>
      <c r="C35" s="16">
        <f>'BOND &amp; FUNDING ANALYSIS'!E35</f>
        <v>5764524</v>
      </c>
      <c r="D35" s="100" t="s">
        <v>193</v>
      </c>
      <c r="E35" s="96"/>
      <c r="F35" s="96"/>
      <c r="G35" s="97"/>
      <c r="H35" s="7"/>
      <c r="I35" s="7"/>
      <c r="J35" s="7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8" x14ac:dyDescent="0.3">
      <c r="A36" s="8" t="s">
        <v>194</v>
      </c>
      <c r="B36" s="8" t="s">
        <v>195</v>
      </c>
      <c r="C36" s="16">
        <f>'BOND &amp; FUNDING ANALYSIS'!F35</f>
        <v>6235476</v>
      </c>
      <c r="D36" s="100" t="s">
        <v>196</v>
      </c>
      <c r="E36" s="96"/>
      <c r="F36" s="96"/>
      <c r="G36" s="97"/>
      <c r="H36" s="7"/>
      <c r="I36" s="7"/>
      <c r="J36" s="7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8" x14ac:dyDescent="0.3">
      <c r="A37" s="89" t="s">
        <v>197</v>
      </c>
      <c r="B37" s="90" t="s">
        <v>198</v>
      </c>
      <c r="C37" s="91" t="s">
        <v>199</v>
      </c>
      <c r="D37" s="113" t="s">
        <v>200</v>
      </c>
      <c r="E37" s="114"/>
      <c r="F37" s="96"/>
      <c r="G37" s="97"/>
      <c r="H37" s="7"/>
      <c r="I37" s="7"/>
      <c r="J37" s="7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2" x14ac:dyDescent="0.3">
      <c r="A38" s="92" t="s">
        <v>227</v>
      </c>
      <c r="B38" s="93" t="s">
        <v>230</v>
      </c>
      <c r="C38" s="93" t="s">
        <v>231</v>
      </c>
      <c r="D38" s="128" t="s">
        <v>232</v>
      </c>
      <c r="E38" s="128"/>
      <c r="F38" s="7"/>
      <c r="G38" s="7"/>
      <c r="H38" s="7"/>
      <c r="I38" s="7"/>
      <c r="J38" s="7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" x14ac:dyDescent="0.3">
      <c r="A39" s="1"/>
      <c r="B39" s="1"/>
      <c r="C39" s="1"/>
      <c r="D39" s="1"/>
      <c r="E39" s="1"/>
      <c r="F39" s="7"/>
      <c r="G39" s="7"/>
      <c r="H39" s="7"/>
      <c r="I39" s="7"/>
      <c r="J39" s="7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 x14ac:dyDescent="0.3">
      <c r="A40" s="1"/>
      <c r="B40" s="1"/>
      <c r="C40" s="1"/>
      <c r="D40" s="1"/>
      <c r="E40" s="1"/>
      <c r="F40" s="7"/>
      <c r="G40" s="7"/>
      <c r="H40" s="7"/>
      <c r="I40" s="7"/>
      <c r="J40" s="7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" x14ac:dyDescent="0.3">
      <c r="A41" s="1"/>
      <c r="B41" s="1"/>
      <c r="C41" s="1"/>
      <c r="D41" s="1"/>
      <c r="E41" s="1"/>
      <c r="F41" s="7"/>
      <c r="G41" s="7"/>
      <c r="H41" s="7"/>
      <c r="I41" s="7"/>
      <c r="J41" s="7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 x14ac:dyDescent="0.3">
      <c r="A42" s="1"/>
      <c r="B42" s="1"/>
      <c r="C42" s="1"/>
      <c r="D42" s="1"/>
      <c r="E42" s="1"/>
      <c r="F42" s="7"/>
      <c r="G42" s="7"/>
      <c r="H42" s="7"/>
      <c r="I42" s="7"/>
      <c r="J42" s="7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" x14ac:dyDescent="0.3">
      <c r="A43" s="1"/>
      <c r="B43" s="1"/>
      <c r="C43" s="1"/>
      <c r="D43" s="1"/>
      <c r="E43" s="1"/>
      <c r="F43" s="7"/>
      <c r="G43" s="7"/>
      <c r="H43" s="7"/>
      <c r="I43" s="7"/>
      <c r="J43" s="7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" x14ac:dyDescent="0.3">
      <c r="A44" s="1"/>
      <c r="B44" s="1"/>
      <c r="C44" s="1"/>
      <c r="D44" s="1"/>
      <c r="E44" s="1"/>
      <c r="F44" s="7"/>
      <c r="G44" s="7"/>
      <c r="H44" s="7"/>
      <c r="I44" s="7"/>
      <c r="J44" s="7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" x14ac:dyDescent="0.3">
      <c r="A45" s="1"/>
      <c r="B45" s="1"/>
      <c r="C45" s="1"/>
      <c r="D45" s="1"/>
      <c r="E45" s="1"/>
      <c r="F45" s="7"/>
      <c r="G45" s="7"/>
      <c r="H45" s="7"/>
      <c r="I45" s="7"/>
      <c r="J45" s="7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 x14ac:dyDescent="0.3">
      <c r="A46" s="1"/>
      <c r="B46" s="1"/>
      <c r="C46" s="1"/>
      <c r="D46" s="1"/>
      <c r="E46" s="1"/>
      <c r="F46" s="7"/>
      <c r="G46" s="7"/>
      <c r="H46" s="7"/>
      <c r="I46" s="7"/>
      <c r="J46" s="7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 x14ac:dyDescent="0.3">
      <c r="A47" s="1"/>
      <c r="B47" s="1"/>
      <c r="C47" s="1"/>
      <c r="D47" s="1"/>
      <c r="E47" s="1"/>
      <c r="F47" s="7"/>
      <c r="G47" s="7"/>
      <c r="H47" s="7"/>
      <c r="I47" s="7"/>
      <c r="J47" s="7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" x14ac:dyDescent="0.3">
      <c r="A48" s="1"/>
      <c r="B48" s="1"/>
      <c r="C48" s="1"/>
      <c r="D48" s="1"/>
      <c r="E48" s="1"/>
      <c r="F48" s="7"/>
      <c r="G48" s="7"/>
      <c r="H48" s="7"/>
      <c r="I48" s="7"/>
      <c r="J48" s="7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3">
      <c r="A49" s="1"/>
      <c r="B49" s="1"/>
      <c r="C49" s="1"/>
      <c r="D49" s="1"/>
      <c r="E49" s="1"/>
      <c r="F49" s="7"/>
      <c r="G49" s="7"/>
      <c r="H49" s="7"/>
      <c r="I49" s="7"/>
      <c r="J49" s="7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3">
      <c r="A50" s="1"/>
      <c r="B50" s="1"/>
      <c r="C50" s="1"/>
      <c r="D50" s="1"/>
      <c r="E50" s="1"/>
      <c r="F50" s="7"/>
      <c r="G50" s="7"/>
      <c r="H50" s="7"/>
      <c r="I50" s="7"/>
      <c r="J50" s="7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3">
      <c r="A51" s="1"/>
      <c r="B51" s="1"/>
      <c r="D51" s="1"/>
      <c r="E51" s="1"/>
      <c r="F51" s="1"/>
      <c r="G51" s="1"/>
      <c r="H51" s="1"/>
      <c r="I51" s="1"/>
      <c r="J51" s="7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x14ac:dyDescent="0.3">
      <c r="A52" s="1"/>
      <c r="B52" s="1"/>
      <c r="C52" s="1"/>
      <c r="D52" s="1"/>
      <c r="E52" s="1"/>
      <c r="F52" s="1"/>
      <c r="G52" s="1"/>
      <c r="H52" s="1"/>
      <c r="I52" s="1"/>
      <c r="J52" s="7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5">
    <mergeCell ref="D38:E38"/>
    <mergeCell ref="D36:G36"/>
    <mergeCell ref="D37:G37"/>
    <mergeCell ref="I27:K27"/>
    <mergeCell ref="I28:K28"/>
    <mergeCell ref="A31:G31"/>
    <mergeCell ref="D32:G32"/>
    <mergeCell ref="D33:G33"/>
    <mergeCell ref="J33:M33"/>
    <mergeCell ref="D34:G34"/>
    <mergeCell ref="A25:K25"/>
    <mergeCell ref="I26:K26"/>
    <mergeCell ref="A19:M19"/>
    <mergeCell ref="K20:M20"/>
    <mergeCell ref="D35:G35"/>
    <mergeCell ref="H14:K14"/>
    <mergeCell ref="H15:K15"/>
    <mergeCell ref="H16:K16"/>
    <mergeCell ref="K21:M21"/>
    <mergeCell ref="K22:M22"/>
    <mergeCell ref="A1:K1"/>
    <mergeCell ref="A10:K10"/>
    <mergeCell ref="H11:K11"/>
    <mergeCell ref="H12:K12"/>
    <mergeCell ref="H13:K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&amp; ASSUMPTIONS</vt:lpstr>
      <vt:lpstr>BOND &amp; FUNDING ANALYSIS</vt:lpstr>
      <vt:lpstr>RATE RISK &amp; 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Giang Le Ho Thu</cp:lastModifiedBy>
  <dcterms:created xsi:type="dcterms:W3CDTF">2026-10-19T08:53:34Z</dcterms:created>
  <dcterms:modified xsi:type="dcterms:W3CDTF">2026-10-19T08:53:34Z</dcterms:modified>
</cp:coreProperties>
</file>